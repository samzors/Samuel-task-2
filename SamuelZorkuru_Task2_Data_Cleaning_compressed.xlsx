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7280" windowHeight="9195" firstSheet="2" activeTab="5"/>
  </bookViews>
  <sheets>
    <sheet name="Raw Messy Data" sheetId="1" r:id="rId1"/>
    <sheet name="Clean Data" sheetId="3" r:id="rId2"/>
    <sheet name="Task 2 Analysis" sheetId="5" r:id="rId3"/>
    <sheet name="Revenue by Country" sheetId="6" r:id="rId4"/>
    <sheet name="Product Revenue" sheetId="7" r:id="rId5"/>
    <sheet name="README" sheetId="2" r:id="rId6"/>
  </sheets>
  <definedNames>
    <definedName name="_xlnm._FilterDatabase" localSheetId="0" hidden="1">'Raw Messy Data'!$A$1:$H$1004</definedName>
    <definedName name="_xlnm._FilterDatabase" localSheetId="5" hidden="1">README!$A$1:$A$11</definedName>
  </definedNames>
  <calcPr calcId="152511"/>
  <pivotCaches>
    <pivotCache cacheId="3" r:id="rId7"/>
  </pivotCaches>
</workbook>
</file>

<file path=xl/calcChain.xml><?xml version="1.0" encoding="utf-8"?>
<calcChain xmlns="http://schemas.openxmlformats.org/spreadsheetml/2006/main">
  <c r="C6" i="2" l="1"/>
  <c r="C5" i="2"/>
  <c r="C4" i="2"/>
  <c r="C3" i="2"/>
  <c r="C2" i="2"/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D6" i="2" l="1"/>
  <c r="B6" i="2"/>
  <c r="B5" i="2"/>
  <c r="D5" i="2"/>
  <c r="B3" i="2"/>
  <c r="D3" i="2"/>
  <c r="B4" i="2"/>
  <c r="D4" i="2"/>
  <c r="D2" i="2"/>
  <c r="B2" i="2"/>
</calcChain>
</file>

<file path=xl/sharedStrings.xml><?xml version="1.0" encoding="utf-8"?>
<sst xmlns="http://schemas.openxmlformats.org/spreadsheetml/2006/main" count="5270" uniqueCount="1004">
  <si>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</si>
  <si>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</si>
  <si>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</si>
  <si>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</si>
  <si>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</si>
  <si>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</si>
  <si>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</si>
  <si>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</si>
  <si>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ENCHANTED BIRD COATHANGER 5 HOOK</t>
  </si>
  <si>
    <t>United Kingdom</t>
  </si>
  <si>
    <t>FIVE HEART HANGING DECORATION</t>
  </si>
  <si>
    <t>EIRE</t>
  </si>
  <si>
    <t xml:space="preserve">LOO ROLL  METAL SIGN </t>
  </si>
  <si>
    <t xml:space="preserve"> 21777 </t>
  </si>
  <si>
    <t>RECIPE BOX WITH METAL HEART</t>
  </si>
  <si>
    <t>ZINC METAL HEART DECORATION</t>
  </si>
  <si>
    <t>STRAWBERRY LUNCHBOX WITH CUTLERY</t>
  </si>
  <si>
    <t>Germany</t>
  </si>
  <si>
    <t xml:space="preserve">  CUT GLASS T-LIGHT HOLDER OCTAGON  </t>
  </si>
  <si>
    <t>METAL MERRY CHRISTMAS WREATH</t>
  </si>
  <si>
    <t>PAPER CHAIN KIT RETRO SPOT</t>
  </si>
  <si>
    <t>85014B</t>
  </si>
  <si>
    <t>RED/WHITE DOTS RUFFLED UMBRELLA</t>
  </si>
  <si>
    <t>RETROSPOT CHILDRENS APRON</t>
  </si>
  <si>
    <t>ANTIQUE SILVER TEA GLASS ETCHED</t>
  </si>
  <si>
    <t>WOOD BLACK BOARD ANT WHITE FINISH</t>
  </si>
  <si>
    <t>CHILDS GARDEN BRUSH PINK</t>
  </si>
  <si>
    <t>WOODEN SCHOOL COLOURING SET</t>
  </si>
  <si>
    <t>France</t>
  </si>
  <si>
    <t>CLEAR MILKSHAKE GLASS</t>
  </si>
  <si>
    <t>DOOR MAT WELCOME PUPPIES</t>
  </si>
  <si>
    <t>MINI FUNKY DESIGN TAPES</t>
  </si>
  <si>
    <t>U.K.</t>
  </si>
  <si>
    <t>SMALL SILVER TRELLIS CANDLEPOT</t>
  </si>
  <si>
    <t>85114B</t>
  </si>
  <si>
    <t>IVORY ENCHANTED FOREST PLACEMAT</t>
  </si>
  <si>
    <t xml:space="preserve">METAL SIGN TAKE IT OR LEAVE IT </t>
  </si>
  <si>
    <t>36 PENCILS TUBE RED SPOTTY</t>
  </si>
  <si>
    <t>79323W</t>
  </si>
  <si>
    <t xml:space="preserve"> WHITE CHERRY LIGHTS</t>
  </si>
  <si>
    <t>15044C</t>
  </si>
  <si>
    <t>PURPLE PAPER PARASOL</t>
  </si>
  <si>
    <t>1.25</t>
  </si>
  <si>
    <t>Singapore</t>
  </si>
  <si>
    <t xml:space="preserve"> 522904 </t>
  </si>
  <si>
    <t>72529W</t>
  </si>
  <si>
    <t>WHITE ADVENT CANDLE</t>
  </si>
  <si>
    <t>WHITE TISSUE REAM</t>
  </si>
  <si>
    <t>08-12-2010 13:30</t>
  </si>
  <si>
    <t>VICTORIAN SEWING BOX LARGE</t>
  </si>
  <si>
    <t xml:space="preserve"> 533067 </t>
  </si>
  <si>
    <t>SET/10 PINK POLKADOT PARTY CANDLES</t>
  </si>
  <si>
    <t>ETCHED GLASS STAR TREE DECORATION</t>
  </si>
  <si>
    <t>15056BL</t>
  </si>
  <si>
    <t>EDWARDIAN PARASOL BLACK</t>
  </si>
  <si>
    <t>PARTY BUNTING</t>
  </si>
  <si>
    <t>FELTCRAFT CUSHION BUTTERFLY</t>
  </si>
  <si>
    <t>UNITED KINGDOM</t>
  </si>
  <si>
    <t>JUMBO STORAGE BAG SKULLS</t>
  </si>
  <si>
    <t>10</t>
  </si>
  <si>
    <t xml:space="preserve">PLASTERS IN TIN CIRCUS PARADE </t>
  </si>
  <si>
    <t>BLUE POLKADOT WRAP</t>
  </si>
  <si>
    <t>SMALL HEART MEASURING SPOONS</t>
  </si>
  <si>
    <t>84510B</t>
  </si>
  <si>
    <t xml:space="preserve">SET OF 4 FAIRY CAKES COASTERS </t>
  </si>
  <si>
    <t>S/6 WOODEN SKITTLES IN COTTON BAG</t>
  </si>
  <si>
    <t>KEY FOB , SHED</t>
  </si>
  <si>
    <t>JUMBO BAG WOODLAND ANIMALS</t>
  </si>
  <si>
    <t>1.95</t>
  </si>
  <si>
    <t>PLASTERS IN TIN SPACEBOY</t>
  </si>
  <si>
    <t xml:space="preserve">RED HEART SHAPE LOVE BUCKET </t>
  </si>
  <si>
    <t>ZINC WILLIE WINKIE  CANDLE STICK</t>
  </si>
  <si>
    <t>GREEN  DIAMANTE PEN IN GIFT BOX</t>
  </si>
  <si>
    <t>HANGING GLASS ETCHED TEALIGHT</t>
  </si>
  <si>
    <t>VINTAGE CARAVAN GIFT WRAP</t>
  </si>
  <si>
    <t xml:space="preserve">  HANGING HEART JAR T-LIGHT HOLDER  </t>
  </si>
  <si>
    <t>DOORSTOP RUSSIAN DOLL RETROSPOT</t>
  </si>
  <si>
    <t>C511560</t>
  </si>
  <si>
    <t>SET/5 RED SPOTTY LID GLASS BOWLS</t>
  </si>
  <si>
    <t>SET 7 BABUSHKA NESTING BOXES</t>
  </si>
  <si>
    <t>CAKE STAND 3 TIER MAGIC GARDEN</t>
  </si>
  <si>
    <t xml:space="preserve">TOY TIDY SPACEBOY  </t>
  </si>
  <si>
    <t>Belgium</t>
  </si>
  <si>
    <t>ELEPHANT TOY WITH BLUE T-SHIRT</t>
  </si>
  <si>
    <t>COLOUR GLASS. STAR T-LIGHT HOLDER</t>
  </si>
  <si>
    <t>16059</t>
  </si>
  <si>
    <t xml:space="preserve">TRADITIONAL WOODEN CATCH CUP GAME </t>
  </si>
  <si>
    <t>United kingdom</t>
  </si>
  <si>
    <t>RED SPOTTY CHILDS APRON</t>
  </si>
  <si>
    <t>VINTAGE UNION JACK CUSHION COVER</t>
  </si>
  <si>
    <t>4.95</t>
  </si>
  <si>
    <t xml:space="preserve">ROUND SNACK BOXES SET OF 4 FRUITS </t>
  </si>
  <si>
    <t>PINK PATCH PENCIL CASE BLUE HEART</t>
  </si>
  <si>
    <t>RAINY LADIES BIRTHDAY CARD</t>
  </si>
  <si>
    <t>0.42</t>
  </si>
  <si>
    <t xml:space="preserve">POPPY'S PLAYHOUSE BEDROOM </t>
  </si>
  <si>
    <t>RED TOADSTOOL LED NIGHT LIGHT</t>
  </si>
  <si>
    <t>CHARLOTTE BAG , SUKI DESIGN</t>
  </si>
  <si>
    <t>GREEN GINGHAM FLOWER JEWELLERY BOX</t>
  </si>
  <si>
    <t>DOORMAT UNION FLAG</t>
  </si>
  <si>
    <t>16049</t>
  </si>
  <si>
    <t>JOY WOODEN BLOCK LETTERS</t>
  </si>
  <si>
    <t>RECIPE BOX BLUE SKETCHBOOK DESIGN</t>
  </si>
  <si>
    <t>WOODEN CROQUET GARDEN SET</t>
  </si>
  <si>
    <t>72807C</t>
  </si>
  <si>
    <t>SET/3 VANILLA SCENTED CANDLE IN BOX</t>
  </si>
  <si>
    <t>Italy</t>
  </si>
  <si>
    <t>SET OF 9 HEART SHAPED BALLOONS</t>
  </si>
  <si>
    <t>BIRD DECORATION RED SPOT</t>
  </si>
  <si>
    <t>0.85</t>
  </si>
  <si>
    <t xml:space="preserve">6 RIBBONS EMPIRE  </t>
  </si>
  <si>
    <t>RSA</t>
  </si>
  <si>
    <t>ASSORTED FARMYARD ANIMALS IN BUCKET</t>
  </si>
  <si>
    <t>13902</t>
  </si>
  <si>
    <t>Denmark</t>
  </si>
  <si>
    <t>SET/10 RED SPOTTY PARTY CANDLES</t>
  </si>
  <si>
    <t>Netherlands</t>
  </si>
  <si>
    <t xml:space="preserve">WALL TIDY RETROSPOT </t>
  </si>
  <si>
    <t>GIN + TONIC DIET METAL SIGN</t>
  </si>
  <si>
    <t>FELT EGG COSY CHICKEN</t>
  </si>
  <si>
    <t>12</t>
  </si>
  <si>
    <t xml:space="preserve">DOOR MAT ENGLISH ROSE </t>
  </si>
  <si>
    <t>85206A</t>
  </si>
  <si>
    <t>CREAM FELT EASTER EGG BASKET</t>
  </si>
  <si>
    <t>HEART FILIGREE DOVE  SMALL</t>
  </si>
  <si>
    <t>PACK OF 72 RETRO SPOT CAKE CASES</t>
  </si>
  <si>
    <t>SET OF 3 BUTTERFLY COOKIE CUTTERS</t>
  </si>
  <si>
    <t>MOUSE TOY WITH PINK T-SHIRT</t>
  </si>
  <si>
    <t xml:space="preserve">SET3 BOOK BOX GREEN GINGHAM FLOWER </t>
  </si>
  <si>
    <t>4.25</t>
  </si>
  <si>
    <t>SWEETHEART KEY CABINET</t>
  </si>
  <si>
    <t>PACK OF 12 PINK POLKADOT TISSUES</t>
  </si>
  <si>
    <t>united kingdom</t>
  </si>
  <si>
    <t>RED RETROSPOT SMALL MILK JUG</t>
  </si>
  <si>
    <t>ASSORTED COLOUR MINI CASES</t>
  </si>
  <si>
    <t xml:space="preserve">RETRO SPOT TEA SET CERAMIC 11 PC </t>
  </si>
  <si>
    <t>SET 3 RED SPOT TIN TEA,COFFEE,SUGAR</t>
  </si>
  <si>
    <t>WOODLAND STORAGE BOX SMALL</t>
  </si>
  <si>
    <t>United KIngdom</t>
  </si>
  <si>
    <t>BLUE FELT EASTER EGG BASKET</t>
  </si>
  <si>
    <t>SILVER GLASS T-LIGHT SET</t>
  </si>
  <si>
    <t>84997B</t>
  </si>
  <si>
    <t>RED 3 PIECE MINI DOTS CUTLERY SET</t>
  </si>
  <si>
    <t>ASSORTED COLOUR BIRD ORNAMENT</t>
  </si>
  <si>
    <t>APRON MODERN VINTAGE COTTON</t>
  </si>
  <si>
    <t>GLASS STAR FROSTED T-LIGHT HOLDER</t>
  </si>
  <si>
    <t>GREY HEART HOT WATER BOTTLE</t>
  </si>
  <si>
    <t>3.75</t>
  </si>
  <si>
    <t xml:space="preserve"> 21888 </t>
  </si>
  <si>
    <t>BINGO SET</t>
  </si>
  <si>
    <t>3D TRADITIONAL CHRISTMAS STICKERS</t>
  </si>
  <si>
    <t>WOOD STAMP SET THANK YOU</t>
  </si>
  <si>
    <t>CHRISTMAS CRAFT TREE TOP ANGEL</t>
  </si>
  <si>
    <t>85123A</t>
  </si>
  <si>
    <t>WHITE HANGING HEART T-LIGHT HOLDER</t>
  </si>
  <si>
    <t xml:space="preserve">METAL DECORATION NAUGHTY CHILDREN </t>
  </si>
  <si>
    <t xml:space="preserve">STRAWBERRY BATH SPONGE </t>
  </si>
  <si>
    <t>SET OF 20 VINTAGE CHRISTMAS NAPKINS</t>
  </si>
  <si>
    <t>HANGING FAIRY CAKE DECORATION</t>
  </si>
  <si>
    <t>ENGLISH ROSE DESIGN PEG BAG</t>
  </si>
  <si>
    <t>Cyprus</t>
  </si>
  <si>
    <t>RED 3 PIECE RETROSPOT CUTLERY SET</t>
  </si>
  <si>
    <t>BALLOON WATER BOMB PACK OF 35</t>
  </si>
  <si>
    <t>GOLD WINE GLASS</t>
  </si>
  <si>
    <t>HEART OF WICKER LARGE</t>
  </si>
  <si>
    <t xml:space="preserve">LADLE LOVE HEART RED </t>
  </si>
  <si>
    <t xml:space="preserve">SKULLS WRITING SET </t>
  </si>
  <si>
    <t>WOODEN ADVENT CALENDAR RED</t>
  </si>
  <si>
    <t xml:space="preserve">RECYCLING BAG RETROSPOT </t>
  </si>
  <si>
    <t>RUSTIC WOODEN CABINET, GLASS DOORS</t>
  </si>
  <si>
    <t xml:space="preserve">RIBBON REEL STRIPES DESIGN </t>
  </si>
  <si>
    <t>47594B</t>
  </si>
  <si>
    <t>SCOTTIES DESIGN WASHBAG</t>
  </si>
  <si>
    <t>COFFEE MUG APPLES DESIGN</t>
  </si>
  <si>
    <t>BAKING SET SPACEBOY DESIGN</t>
  </si>
  <si>
    <t>SPACEBOY CHILDRENS EGG CUP</t>
  </si>
  <si>
    <t>72753C</t>
  </si>
  <si>
    <t>S/3 FLWR FAIRY ROSE CANDLES</t>
  </si>
  <si>
    <t>SCOTTIE DOG HOT WATER BOTTLE</t>
  </si>
  <si>
    <t xml:space="preserve">ECONOMY PASSPORT COVER </t>
  </si>
  <si>
    <t>GLAMOROUS  MUG</t>
  </si>
  <si>
    <t>LIPSTICK PEN FUSCHIA</t>
  </si>
  <si>
    <t>PACK OF 20 SPACEBOY NAPKINS</t>
  </si>
  <si>
    <t>DOOR MAT UNION FLAG</t>
  </si>
  <si>
    <t>CHRISTMAS GINGHAM HEART</t>
  </si>
  <si>
    <t>85231G</t>
  </si>
  <si>
    <t>ORANGE SCENTED SET/9 T-LIGHTS</t>
  </si>
  <si>
    <t>PACK OF 6 SKULL PAPER CUPS</t>
  </si>
  <si>
    <t>UNION JACK FLAG LUGGAGE TAG</t>
  </si>
  <si>
    <t>RETRO RED SPOTTY WASHING UP GLOVES</t>
  </si>
  <si>
    <t>2.10</t>
  </si>
  <si>
    <t>LADIES &amp; GENTLEMEN METAL SIGN</t>
  </si>
  <si>
    <t>I CAN ONLY PLEASE ONE PERSON MUG</t>
  </si>
  <si>
    <t>VICTORIAN GLASS HANGING T-LIGHT</t>
  </si>
  <si>
    <t>NO JUNK MAIL METAL SIGN</t>
  </si>
  <si>
    <t>DOORMAT HEARTS</t>
  </si>
  <si>
    <t>6 RIBBONS RUSTIC CHARM</t>
  </si>
  <si>
    <t>2010-06-21 13:32</t>
  </si>
  <si>
    <t>FOLDING UMBRELLA  PINK/WHITE  SPOT</t>
  </si>
  <si>
    <t>CHOCOLATE HOT WATER BOTTLE</t>
  </si>
  <si>
    <t>DOORMAT 3 SMILEY CATS</t>
  </si>
  <si>
    <t>GARDENERS KNEELING PAD</t>
  </si>
  <si>
    <t>FIRST AID TIN</t>
  </si>
  <si>
    <t>BLACK DINER WALL CLOCK</t>
  </si>
  <si>
    <t>FELT FARM ANIMAL CHICKEN</t>
  </si>
  <si>
    <t>17700</t>
  </si>
  <si>
    <t>JUMBO SHOPPER VINTAGE RED PAISLEY</t>
  </si>
  <si>
    <t>ENAMEL MEASURING JUG CREAM</t>
  </si>
  <si>
    <t>HOT WATER BOTTLE I AM SO POORLY</t>
  </si>
  <si>
    <t>C502092</t>
  </si>
  <si>
    <t>GLASS  BEURRE DISH</t>
  </si>
  <si>
    <t>SET OF 3 NOTEBOOKS IN PARCEL</t>
  </si>
  <si>
    <t>1.65</t>
  </si>
  <si>
    <t>GLASS ETCHED T-LIGHT HOLDER MEDIUM</t>
  </si>
  <si>
    <t>VICTORIAN  METAL POSTCARD SPRING</t>
  </si>
  <si>
    <t>ARCHED GREY MIRROR</t>
  </si>
  <si>
    <t>CALENDAR PAPER CUT DESIGN</t>
  </si>
  <si>
    <t>USA</t>
  </si>
  <si>
    <t>CERAMIC CAKE DESIGN SPOTTED PLATE</t>
  </si>
  <si>
    <t>ASSORTED CAKES FRIDGE MAGNETS</t>
  </si>
  <si>
    <t>germany</t>
  </si>
  <si>
    <t>SMALL TALL CAMPHOR WOOD TOADSTOOL</t>
  </si>
  <si>
    <t>CERAMIC CAKE DESIGN SPOTTED MUG</t>
  </si>
  <si>
    <t xml:space="preserve"> 22283 </t>
  </si>
  <si>
    <t>6 EGG HOUSE PAINTED WOOD</t>
  </si>
  <si>
    <t>CERAMIC LOVE HEARTS DESIGN MUG</t>
  </si>
  <si>
    <t>SPRING DEC , HANGING CHICK  YELLOW</t>
  </si>
  <si>
    <t>PLACE SETTING WHITE HEART</t>
  </si>
  <si>
    <t>ENCHANTED BIRD PLANT CAGE</t>
  </si>
  <si>
    <t>LUNCH BAG WOODLAND</t>
  </si>
  <si>
    <t>Channel Islands</t>
  </si>
  <si>
    <t>RED LOVE HEART SHAPE CUP</t>
  </si>
  <si>
    <t>82494L</t>
  </si>
  <si>
    <t xml:space="preserve">WOODEN FRAME ANTIQUE WHITE </t>
  </si>
  <si>
    <t>HALL CABINET WITH 3 DRAWERS</t>
  </si>
  <si>
    <t>FELTCRAFT CHRISTMAS FAIRY</t>
  </si>
  <si>
    <t>PINK CAT BOWL</t>
  </si>
  <si>
    <t>47503E</t>
  </si>
  <si>
    <t>ASS FLORAL PRINT SCISSORS</t>
  </si>
  <si>
    <t>KINGS CHOICE GIANT TUBE MATCHES</t>
  </si>
  <si>
    <t>GOLD FABRIC MIRROR</t>
  </si>
  <si>
    <t>C517067</t>
  </si>
  <si>
    <t>TEA TIME TEAPOT IN GIFT BOX</t>
  </si>
  <si>
    <t>PACK OF 72 SKULL CAKE CASES</t>
  </si>
  <si>
    <t>36 FOIL HEART CAKE CASES</t>
  </si>
  <si>
    <t>Portugal</t>
  </si>
  <si>
    <t>11/02/2010 08:02</t>
  </si>
  <si>
    <t>HAND WARMER UNION JACK</t>
  </si>
  <si>
    <t xml:space="preserve">PINK  HEART SHAPE LOVE BUCKET </t>
  </si>
  <si>
    <t>JAZZ HEARTS PURSE NOTEBOOK</t>
  </si>
  <si>
    <t>PICNIC BASKET WICKER LARGE</t>
  </si>
  <si>
    <t>CANDY BUTTON PHOTO ALBUM</t>
  </si>
  <si>
    <t xml:space="preserve"> 490093 </t>
  </si>
  <si>
    <t>RETRO SPOT CAKE STAND</t>
  </si>
  <si>
    <t xml:space="preserve">WOODEN ROUNDERS GARDEN SET </t>
  </si>
  <si>
    <t>GROW YOUR OWN BASIL IN ENAMEL MUG</t>
  </si>
  <si>
    <t>BUNNY EGG BOX</t>
  </si>
  <si>
    <t>VINTAGE SNAP CARDS</t>
  </si>
  <si>
    <t>SWALLOW WOODEN CHRISTMAS DECORATION</t>
  </si>
  <si>
    <t>PLASTERS IN TIN SKULLS</t>
  </si>
  <si>
    <t>MAGNETS PACK OF 4 RETRO PHOTO</t>
  </si>
  <si>
    <t>SILVER TEDDY BEAR</t>
  </si>
  <si>
    <t>SET OF 6 VINTAGE NOTELETS KIT</t>
  </si>
  <si>
    <t>2.55</t>
  </si>
  <si>
    <t>84406B</t>
  </si>
  <si>
    <t>CREAM CUPID HEARTS COAT HANGER</t>
  </si>
  <si>
    <t>84931B</t>
  </si>
  <si>
    <t>BLUE SCOTTIE DOG W FLOWER PATTERN</t>
  </si>
  <si>
    <t>NO SINGING METAL SIGN</t>
  </si>
  <si>
    <t>14854</t>
  </si>
  <si>
    <t>16156S</t>
  </si>
  <si>
    <t xml:space="preserve">WRAP PINK FAIRY CAKES </t>
  </si>
  <si>
    <t>WATERING CAN SINGLE HOOK PISTACHIO</t>
  </si>
  <si>
    <t>CARD HOLDER GINGHAM HEART</t>
  </si>
  <si>
    <t>85135B</t>
  </si>
  <si>
    <t>BLUE DRAGONFLY HELICOPTER</t>
  </si>
  <si>
    <t>CHOCOLATE THIS WAY METAL SIGN</t>
  </si>
  <si>
    <t>85099B</t>
  </si>
  <si>
    <t>JUMBO BAG RED RETROSPOT</t>
  </si>
  <si>
    <t>PACK OF 60 MUSHROOM CAKE CASES</t>
  </si>
  <si>
    <t>DOOR MAT RED SPOT</t>
  </si>
  <si>
    <t>CHRISTMAS CRAFT HEART DECORATIONS</t>
  </si>
  <si>
    <t>GLOW IN DARK DOLPHINS</t>
  </si>
  <si>
    <t>WORLD WAR 2 GLIDERS ASSTD DESIGNS</t>
  </si>
  <si>
    <t>192</t>
  </si>
  <si>
    <t xml:space="preserve">YOU'RE CONFUSING ME METAL SIGN </t>
  </si>
  <si>
    <t>16156N</t>
  </si>
  <si>
    <t>WRAP, FRIENDSHIP ON GREEN</t>
  </si>
  <si>
    <t>TEA TIME CAKE STAND IN GIFT BOX</t>
  </si>
  <si>
    <t>WOODEN STAR CHRISTMAS SCANDINAVIAN</t>
  </si>
  <si>
    <t>CALENDAR IN SEASON DESIGN</t>
  </si>
  <si>
    <t>85014A</t>
  </si>
  <si>
    <t>BLACK/BLUE DOTS RUFFLED UMBRELLA</t>
  </si>
  <si>
    <t xml:space="preserve">BLUE  SPOTTY PLATE </t>
  </si>
  <si>
    <t>LARGE CAKE STAND HANGING HEARTS</t>
  </si>
  <si>
    <t>HANGING WOOD AND FELT HEART</t>
  </si>
  <si>
    <t>CHILDRENS APRON SPACEBOY DESIGN</t>
  </si>
  <si>
    <t xml:space="preserve">BROCADE RING PURSE </t>
  </si>
  <si>
    <t>720</t>
  </si>
  <si>
    <t>COSY SLIPPER SHOES LARGE GREEN</t>
  </si>
  <si>
    <t xml:space="preserve">RIBBON REEL SPOTS DESIGN </t>
  </si>
  <si>
    <t>VINTAGE UNION JACK DOORSTOP</t>
  </si>
  <si>
    <t>KASHMIR FOLKART TUMBLERS</t>
  </si>
  <si>
    <t>PACK OF 6 HANDBAG GIFT BOXES</t>
  </si>
  <si>
    <t>12900</t>
  </si>
  <si>
    <t>LUNCH BAG PINK RETROSPOT</t>
  </si>
  <si>
    <t xml:space="preserve">ABSTRACT CIRCLE JOURNAL </t>
  </si>
  <si>
    <t xml:space="preserve">RED BABY BUNTING </t>
  </si>
  <si>
    <t xml:space="preserve">  CHARLOTTE BAG PINK WITH WHITE SPOTS  </t>
  </si>
  <si>
    <t>WOODLAND PARTY BAG + STICKER SET</t>
  </si>
  <si>
    <t>BLUE TEA TOWEL CLASSIC DESIGN</t>
  </si>
  <si>
    <t>METAL 4 HOOK HANGER FRENCH CHATEAU</t>
  </si>
  <si>
    <t>SPACEBOY TV DINNER TRAY</t>
  </si>
  <si>
    <t>STRAWBERRY   PICNIC BAG</t>
  </si>
  <si>
    <t>Japan</t>
  </si>
  <si>
    <t>SET OF 6 GIRLS CELEBRATION CANDLES</t>
  </si>
  <si>
    <t>RETRO COFFEE MUGS ASSORTED</t>
  </si>
  <si>
    <t>OLD DOC RUSSEL METAL SIGN</t>
  </si>
  <si>
    <t>17136A</t>
  </si>
  <si>
    <t>BLUE STONES ON WIRE FOR CANDLE</t>
  </si>
  <si>
    <t>POTTING SHED CANDLE CITRONELLA</t>
  </si>
  <si>
    <t>DAIRY MAID SUGAR JAM BOWL</t>
  </si>
  <si>
    <t>C504557</t>
  </si>
  <si>
    <t>BATH DUCK WATERING CAN</t>
  </si>
  <si>
    <t>JUMBO BAG DOLLY GIRL DESIGN</t>
  </si>
  <si>
    <t>TRADITIONAL WOODEN SKIPPING ROPE</t>
  </si>
  <si>
    <t>GINGHAM ROSE WRAP</t>
  </si>
  <si>
    <t>DINOSAUR PARTY BAG + STICKER SET</t>
  </si>
  <si>
    <t>Austria</t>
  </si>
  <si>
    <t>SANDWICH BATH SPONGE</t>
  </si>
  <si>
    <t>1</t>
  </si>
  <si>
    <t>MINI JIGSAW DOLLY GIRL</t>
  </si>
  <si>
    <t xml:space="preserve">WOODEN BOX ADVENT CALENDAR </t>
  </si>
  <si>
    <t>JARDIN ETCHED GLASS SMALL BELL JAR</t>
  </si>
  <si>
    <t>RECIPE BOX RETRO SPOT DESIGN</t>
  </si>
  <si>
    <t>35004S</t>
  </si>
  <si>
    <t>SET OF 3 SILVER FLYING DUCKS</t>
  </si>
  <si>
    <t>ROBIN CHRISTMAS CARD</t>
  </si>
  <si>
    <t>DOORMAT I LOVE LONDON</t>
  </si>
  <si>
    <t>Greece</t>
  </si>
  <si>
    <t>SMALL GLASS HEART TRINKET POT</t>
  </si>
  <si>
    <t>12 PENCIL SMALL TUBE WOODLAND</t>
  </si>
  <si>
    <t>24</t>
  </si>
  <si>
    <t>Switzerland</t>
  </si>
  <si>
    <t>HOME BUILDING BLOCK WORD</t>
  </si>
  <si>
    <t xml:space="preserve">KINGS CHOICE CIGAR BOX MATCHES </t>
  </si>
  <si>
    <t>WOODEN BOX OF DOMINOES</t>
  </si>
  <si>
    <t xml:space="preserve">RED  HARMONICA IN BOX </t>
  </si>
  <si>
    <t>84970L</t>
  </si>
  <si>
    <t>SINGLE HEART ZINC T-LIGHT HOLDER</t>
  </si>
  <si>
    <t>KEY FOB , GARAGE DESIGN</t>
  </si>
  <si>
    <t>HEART GARLAND RUSTIC PADDED</t>
  </si>
  <si>
    <t xml:space="preserve">WICKER STAR </t>
  </si>
  <si>
    <t>85061W</t>
  </si>
  <si>
    <t>WHITE JEWELLED HEART DECORATION</t>
  </si>
  <si>
    <t xml:space="preserve">  CHILDRENS GARDEN GLOVES BLUE  </t>
  </si>
  <si>
    <t>82616C</t>
  </si>
  <si>
    <t>MIDNIGHT GLAMOUR SCARF KNITTING KIT</t>
  </si>
  <si>
    <t>6</t>
  </si>
  <si>
    <t xml:space="preserve">FRYING PAN BLUE POLKADOT </t>
  </si>
  <si>
    <t>LOVE BUILDING BLOCK WORD</t>
  </si>
  <si>
    <t>COFFEE MUG PEARS  DESIGN</t>
  </si>
  <si>
    <t xml:space="preserve">POPCORN HOLDER , SMALL </t>
  </si>
  <si>
    <t>72760B</t>
  </si>
  <si>
    <t>VINTAGE CREAM 3 BASKET CAKE STAND</t>
  </si>
  <si>
    <t>CHRISTMAS RETROSPOT STAR WOOD</t>
  </si>
  <si>
    <t>RETRO SPOT STORAGE JAR</t>
  </si>
  <si>
    <t>SOAP DISH BROCANTE</t>
  </si>
  <si>
    <t>CHRISTMAS CRAFT LITTLE FRIENDS</t>
  </si>
  <si>
    <t xml:space="preserve">  JUMBO SHOPPER VINTAGE RED PAISLEY  </t>
  </si>
  <si>
    <t>47570B</t>
  </si>
  <si>
    <t>TEA TIME TABLE CLOTH</t>
  </si>
  <si>
    <t>C495309</t>
  </si>
  <si>
    <t>LARGE SILVER BALUSTRADE CANDLESTICK</t>
  </si>
  <si>
    <t>WHITE BEADED GARLAND STRING 20LIGHT</t>
  </si>
  <si>
    <t>CERAMIC BIRDHOUSE BLACK ROSE  LARGE</t>
  </si>
  <si>
    <t xml:space="preserve">CHRISTMAS CRAFT HEART STOCKING </t>
  </si>
  <si>
    <t>WOOD 2 DRAWER CABINET WHITE FINISH</t>
  </si>
  <si>
    <t>84536B</t>
  </si>
  <si>
    <t>FAIRY CAKES NOTEBOOK A7 SIZE</t>
  </si>
  <si>
    <t>84288B</t>
  </si>
  <si>
    <t>SET/2 BLUE  NOODLE BASKETS</t>
  </si>
  <si>
    <t>PACK OF 6 SWEETIE GIFT BOXES</t>
  </si>
  <si>
    <t>ALARM CLOCK BAKELIKE GREEN</t>
  </si>
  <si>
    <t xml:space="preserve">MINI PAINT SET VINTAGE </t>
  </si>
  <si>
    <t>T-LIGHT HOLDER HANGING LACE</t>
  </si>
  <si>
    <t xml:space="preserve">KINGS CHOICE TEA CADDY </t>
  </si>
  <si>
    <t>FELTCRAFT BUTTERFLY HEARTS</t>
  </si>
  <si>
    <t>CHRISTMAS RETROSPOT HEART WOOD</t>
  </si>
  <si>
    <t>2010-11-30 11:30</t>
  </si>
  <si>
    <t xml:space="preserve">NATURAL SLATE HEART CHALKBOARD </t>
  </si>
  <si>
    <t xml:space="preserve">  RIBBON REEL SPOTS DESIGN  </t>
  </si>
  <si>
    <t>3 STRIPEY MICE FELTCRAFT</t>
  </si>
  <si>
    <t>85025B</t>
  </si>
  <si>
    <t>EAU DE NILE HEART SHAPE PHOTO FRAME</t>
  </si>
  <si>
    <t>84997C</t>
  </si>
  <si>
    <t>BLUE 3 PIECE POLKADOT CUTLERY SET</t>
  </si>
  <si>
    <t>GRAND CHOCOLATECANDLE</t>
  </si>
  <si>
    <t xml:space="preserve">LARGE ROUND WICKER PLATTER </t>
  </si>
  <si>
    <t xml:space="preserve"> 496092 </t>
  </si>
  <si>
    <t>72 SWEETHEART FAIRY CAKE CASES</t>
  </si>
  <si>
    <t>BLUE 3 PIECE MINI DOTS CUTLERY SET</t>
  </si>
  <si>
    <t>C490798</t>
  </si>
  <si>
    <t xml:space="preserve">LUNCHBOX WITH CUTLERY RETROSPOT </t>
  </si>
  <si>
    <t>FRANCE</t>
  </si>
  <si>
    <t>SWEET VALENCIA CANDLE+CUP</t>
  </si>
  <si>
    <t>SET OF 3 RED STRIPE BASKETS</t>
  </si>
  <si>
    <t xml:space="preserve">GLASS HEART T-LIGHT HOLDER </t>
  </si>
  <si>
    <t xml:space="preserve">CHILDS GARDEN TROWEL BLUE </t>
  </si>
  <si>
    <t xml:space="preserve">GROW YOUR OWN PLANT IN A CAN </t>
  </si>
  <si>
    <t>CHILDS GARDEN FORK PINK</t>
  </si>
  <si>
    <t>16515</t>
  </si>
  <si>
    <t>14514</t>
  </si>
  <si>
    <t>ASSORTED COLOUR T-LIGHT HOLDER</t>
  </si>
  <si>
    <t>REX CASH+CARRY JUMBO SHOPPER</t>
  </si>
  <si>
    <t>STRAWBERRY LUNCH BOX WITH CUTLERY</t>
  </si>
  <si>
    <t>HEART SHAPED MIRROR</t>
  </si>
  <si>
    <t>13089</t>
  </si>
  <si>
    <t>NEW BAROQUE SMALL NECKLACE BLACK</t>
  </si>
  <si>
    <t>DOCTOR'S BAG SOFT TOY</t>
  </si>
  <si>
    <t>BLACK PIRATE TREASURE CHEST</t>
  </si>
  <si>
    <t>CHICK GREY HOT WATER BOTTLE</t>
  </si>
  <si>
    <t xml:space="preserve">WHITE SKULL HOT WATER BOTTLE </t>
  </si>
  <si>
    <t>RED KITCHEN SCALES</t>
  </si>
  <si>
    <t>85231B</t>
  </si>
  <si>
    <t>CINAMMON SET OF 9 T-LIGHTS</t>
  </si>
  <si>
    <t>HAND WARMER BIRD DESIGN</t>
  </si>
  <si>
    <t>11/10/2010 12:13</t>
  </si>
  <si>
    <t>HAND WARMER OWL DESIGN</t>
  </si>
  <si>
    <t xml:space="preserve">  PLEASE ONE PERSON  METAL SIGN  </t>
  </si>
  <si>
    <t>CHRISTMAS MUSICAL ZINC STAR</t>
  </si>
  <si>
    <t>2010-10-31 12:34</t>
  </si>
  <si>
    <t>S/15 SILVER GLASS BAUBLES IN BAG</t>
  </si>
  <si>
    <t>GREEN DRAWER KNOB ACRYLIC EDWARDIAN</t>
  </si>
  <si>
    <t>JUMBO STORAGE BAG SUKI</t>
  </si>
  <si>
    <t xml:space="preserve">GIN &amp; TONIC DIET GREETING CARD </t>
  </si>
  <si>
    <t>85232A</t>
  </si>
  <si>
    <t>SET/3 POLKA DOT STACKING TINS</t>
  </si>
  <si>
    <t>48173C</t>
  </si>
  <si>
    <t xml:space="preserve">DOOR MAT BLACK FLOCK </t>
  </si>
  <si>
    <t>84926D</t>
  </si>
  <si>
    <t>LA PALMIERA TILE COASTER</t>
  </si>
  <si>
    <t>JUMBO BAG SCANDINAVIAN PAISLEY</t>
  </si>
  <si>
    <t xml:space="preserve">ANGEL DECORATION 3 BUTTONS </t>
  </si>
  <si>
    <t>RIBBON REEL CHRISTMAS SOCK BAUBLE</t>
  </si>
  <si>
    <t>84673B</t>
  </si>
  <si>
    <t>BLUE FLY SWAT</t>
  </si>
  <si>
    <t>NATURAL BARK CANDLE LARGE</t>
  </si>
  <si>
    <t>SWALLOWS GREETING CARD</t>
  </si>
  <si>
    <t>PACK OF 6 SKULL PAPER PLATES</t>
  </si>
  <si>
    <t>FELTCRAFT 6 FLOWER FRIENDS</t>
  </si>
  <si>
    <t>PACK OF 60 SPACEBOY CAKE CASES</t>
  </si>
  <si>
    <t xml:space="preserve">  ROUND SNACK BOXES SET OF 4 FRUITS  </t>
  </si>
  <si>
    <t>SET 3 WICKER LOG BASKETS</t>
  </si>
  <si>
    <t xml:space="preserve">RED RETROSPOT TEA CUP AND SAUCER </t>
  </si>
  <si>
    <t>RED SPOTTY PEG BAG</t>
  </si>
  <si>
    <t>17756</t>
  </si>
  <si>
    <t xml:space="preserve">  LIGHT BIRD HOUSE TREE DECORATION  </t>
  </si>
  <si>
    <t>JUMBO BAG PINK VINTAGE PAISLEY</t>
  </si>
  <si>
    <t>46000M</t>
  </si>
  <si>
    <t>POLYESTER FILLER PAD 45x45cm</t>
  </si>
  <si>
    <t>CERAMIC CHERRY CAKE MONEY BANK</t>
  </si>
  <si>
    <t>MINI WOODEN HAPPY BIRTHDAY GARLAND</t>
  </si>
  <si>
    <t>STRAWBERRY CERAMIC TRINKET BOX</t>
  </si>
  <si>
    <t>WHITE LOVEBIRD LANTERN</t>
  </si>
  <si>
    <t xml:space="preserve">COSY HOUR CIGAR BOX MATCHES </t>
  </si>
  <si>
    <t xml:space="preserve">ABSTRACT CIRCLES SKETCHBOOK </t>
  </si>
  <si>
    <t>VINTAGE BILLBOARD LOVE/HATE MUG</t>
  </si>
  <si>
    <t xml:space="preserve">SET 5 MINI DOUGHNUT FRIDGE MAGNET </t>
  </si>
  <si>
    <t>HAND WARMER SCOTTY DOG DESIGN</t>
  </si>
  <si>
    <t>NECKLACE+BRACELET SET BLUE BLOSSOM</t>
  </si>
  <si>
    <t>ASSORTED FLOWER COLOUR "LEIS"</t>
  </si>
  <si>
    <t>MOROCCAN TEA GLASS</t>
  </si>
  <si>
    <t>LARGE CAKE STAND  HANGING STRAWBERY</t>
  </si>
  <si>
    <t>SKULL SHOULDER BAG</t>
  </si>
  <si>
    <t>HAND WARMER RED RETROSPOT</t>
  </si>
  <si>
    <t>HANGING METAL STAR LANTERN</t>
  </si>
  <si>
    <t>WATERING CAN BLUE ELEPHANT</t>
  </si>
  <si>
    <t>CINAMMON &amp; ORANGE WREATH</t>
  </si>
  <si>
    <t>PARTY CONES CARNIVAL ASSORTED</t>
  </si>
  <si>
    <t>FOLDING UMBRELLA BLACKBLUE POLKADOT</t>
  </si>
  <si>
    <t>UK</t>
  </si>
  <si>
    <t>84029E</t>
  </si>
  <si>
    <t>RED WOOLLY HOTTIE WHITE HEART.</t>
  </si>
  <si>
    <t>72802C</t>
  </si>
  <si>
    <t>VANILLA SCENT CANDLE JEWELLED BOX</t>
  </si>
  <si>
    <t xml:space="preserve">BLUE SPOTTY LUGGAGE TAG </t>
  </si>
  <si>
    <t>CERAMIC BOWL WITH STRAWBERRY DESIGN</t>
  </si>
  <si>
    <t>CARDHOLDER GINGHAM STAR</t>
  </si>
  <si>
    <t>UNION JACK GUNS &amp; ROSES  DOORMAT</t>
  </si>
  <si>
    <t>12 PINK ROSE PEG PLACE SETTINGS</t>
  </si>
  <si>
    <t xml:space="preserve">ILLUSTRATED CAT BOWL </t>
  </si>
  <si>
    <t>SET/6 STRAWBERRY PAPER CUPS</t>
  </si>
  <si>
    <t>SWEETHEART CERAMIC TRINKET BOX</t>
  </si>
  <si>
    <t>VINTAGE UNION JACK MEMOBOARD</t>
  </si>
  <si>
    <t>18226</t>
  </si>
  <si>
    <t>PAINTED METAL TREE WITH HOLLY BELLS</t>
  </si>
  <si>
    <t>PACK OF 72 RETROSPOT CAKE CASES</t>
  </si>
  <si>
    <t>PLEASE ONE PERSON METAL SIGN</t>
  </si>
  <si>
    <t xml:space="preserve">  REGENCY CAKESTAND 3 TIER  </t>
  </si>
  <si>
    <t>CHRYSANTHEMUM  JOURNAL</t>
  </si>
  <si>
    <t xml:space="preserve">GREEN MINI TAPE MEASURE </t>
  </si>
  <si>
    <t xml:space="preserve">RED SPOTTY OVEN GLOVE </t>
  </si>
  <si>
    <t>79192A</t>
  </si>
  <si>
    <t>RETRO PLASTIC 70'S TRAY</t>
  </si>
  <si>
    <t>BLACK HEART CARD HOLDER</t>
  </si>
  <si>
    <t>RED WHITE SCARF  HOT WATER BOTTLE</t>
  </si>
  <si>
    <t>BREAD BIN DINER STYLE IVORY</t>
  </si>
  <si>
    <t>KITTENS DESIGN FLANNEL</t>
  </si>
  <si>
    <t>STRAWBERRY CHARLOTTE BAG</t>
  </si>
  <si>
    <t>NURSE'S BAG SOFT TOY</t>
  </si>
  <si>
    <t>EMPIRE BIRTHDAY CARD</t>
  </si>
  <si>
    <t xml:space="preserve">PINK CREAM FELT CRAFT TRINKET BOX </t>
  </si>
  <si>
    <t>DINOSAUR LUNCH BOX WITH CUTLERY</t>
  </si>
  <si>
    <t>84078A</t>
  </si>
  <si>
    <t xml:space="preserve">SET/4 WHITE RETRO STORAGE CUBES </t>
  </si>
  <si>
    <t>34.95</t>
  </si>
  <si>
    <t xml:space="preserve">TEA BAG PLATE RED SPOTTY </t>
  </si>
  <si>
    <t>SET OF 72 RETRO SPOT PAPER  DOILIES</t>
  </si>
  <si>
    <t>Sweden</t>
  </si>
  <si>
    <t>PINK HEART SHAPE EGG FRYING PAN</t>
  </si>
  <si>
    <t>POTTERING IN THE SHED METAL SIGN</t>
  </si>
  <si>
    <t>62094B</t>
  </si>
  <si>
    <t xml:space="preserve">TURQ ICE CREAM BUM BAG </t>
  </si>
  <si>
    <t>VINTAGE UNION JACK BUNTING</t>
  </si>
  <si>
    <t>PINK PADDED MOBILE</t>
  </si>
  <si>
    <t xml:space="preserve">TEA PARTY  WRAPPING PAPER </t>
  </si>
  <si>
    <t>84032A</t>
  </si>
  <si>
    <t>CHARLIE+LOLA PINK HOT WATER BOTTLE</t>
  </si>
  <si>
    <t>OFFICE MUG WARMER POLKADOT</t>
  </si>
  <si>
    <t>WOODLAND DESIGN  COTTON TOTE BAG</t>
  </si>
  <si>
    <t>SKULLS STORAGE BOX SMALL</t>
  </si>
  <si>
    <t>ASSORTED TUTTI FRUTTI ROUND BOX</t>
  </si>
  <si>
    <t>PAPER CHAIN KIT VINTAGE CHRISTMAS</t>
  </si>
  <si>
    <t>62096A</t>
  </si>
  <si>
    <t>PINK/YELLOW FLOWERS HANDBAG</t>
  </si>
  <si>
    <t>5</t>
  </si>
  <si>
    <t>SAVE THE PLANET COTTON TOTE BAG</t>
  </si>
  <si>
    <t>PAPER BUNTING RETRO SPOTS</t>
  </si>
  <si>
    <t xml:space="preserve">  JUMBO BAG CHARLIE AND LOLA TOYS  </t>
  </si>
  <si>
    <t>84563A</t>
  </si>
  <si>
    <t>PINK &amp; WHITE BREAKFAST TRAY</t>
  </si>
  <si>
    <t>84795C</t>
  </si>
  <si>
    <t xml:space="preserve">OCEAN STRIPE HAMMOCK </t>
  </si>
  <si>
    <t>C521998</t>
  </si>
  <si>
    <t>FELTCRAFT PRINCESS LOLA DOLL</t>
  </si>
  <si>
    <t>MAGNETS PACK OF 4 VINTAGE COLLAGE</t>
  </si>
  <si>
    <t>ANTIQUE GLASS RIDGED HANGING BALL</t>
  </si>
  <si>
    <t>ENAMEL FIRE BUCKET CREAM</t>
  </si>
  <si>
    <t xml:space="preserve">LUNCH BOX WITH CUTLERY RETROSPOT </t>
  </si>
  <si>
    <t xml:space="preserve">BLUE HARMONICA IN BOX </t>
  </si>
  <si>
    <t>CHILDS GARDEN TROWEL PINK</t>
  </si>
  <si>
    <t>VINTAGE PHOTO ALBUM PARIS DAYS</t>
  </si>
  <si>
    <t>72801C</t>
  </si>
  <si>
    <t>4 ROSE PINK DINNER CANDLES</t>
  </si>
  <si>
    <t xml:space="preserve">BANQUET BIRTHDAY  CARD  </t>
  </si>
  <si>
    <t xml:space="preserve">BATHROOM METAL SIGN </t>
  </si>
  <si>
    <t xml:space="preserve"> 48111 </t>
  </si>
  <si>
    <t>HAIRCLIPS FORTIES FABRIC ASSORTED</t>
  </si>
  <si>
    <t xml:space="preserve">HEART T-LIGHT HOLDER </t>
  </si>
  <si>
    <t xml:space="preserve"> 499659 </t>
  </si>
  <si>
    <t>POTTING SHED COFFEE MUG</t>
  </si>
  <si>
    <t>01/03/2010 15:05</t>
  </si>
  <si>
    <t>POTTING SHED TEA MUG</t>
  </si>
  <si>
    <t>CUPBOARD 3 DRAWER MA CAMPAGNE</t>
  </si>
  <si>
    <t>WRAP CIRCUS PARADE</t>
  </si>
  <si>
    <t>FELTCRAFT HAIRBAND RED AND BLUE</t>
  </si>
  <si>
    <t xml:space="preserve"> 507275 </t>
  </si>
  <si>
    <t>Spain</t>
  </si>
  <si>
    <t>FLOWERS  STICKERS</t>
  </si>
  <si>
    <t>HANGING PHOTO CLIP ROPE LADDER</t>
  </si>
  <si>
    <t>SWEETHEART RECIPE BOOK STAND</t>
  </si>
  <si>
    <t xml:space="preserve">WRAP I LOVE LONDON </t>
  </si>
  <si>
    <t>EASTER TIN BUCKET</t>
  </si>
  <si>
    <t>RED SPOTTY ROUND CAKE TINS</t>
  </si>
  <si>
    <t>SET/4 2 TONE EGG SHAPE MIXING BOWLS</t>
  </si>
  <si>
    <t>ASSORTED COLOURS SILK FAN</t>
  </si>
  <si>
    <t>84970S</t>
  </si>
  <si>
    <t>HANGING HEART ZINC T-LIGHT HOLDER</t>
  </si>
  <si>
    <t>05/16/2010 12:57</t>
  </si>
  <si>
    <t xml:space="preserve"> 22297 </t>
  </si>
  <si>
    <t>HEART IVORY TRELLIS SMALL</t>
  </si>
  <si>
    <t xml:space="preserve">RIBBONS PURSE </t>
  </si>
  <si>
    <t>LARGE CAKE TOWEL, CHOCOLATE SPOTS</t>
  </si>
  <si>
    <t>85164B</t>
  </si>
  <si>
    <t>BLACK BAROQUE CUCKOO CLOCK</t>
  </si>
  <si>
    <t xml:space="preserve"> 536204 </t>
  </si>
  <si>
    <t>JUMBO BAG OWLS</t>
  </si>
  <si>
    <t>11/30/2010 13:16</t>
  </si>
  <si>
    <t>CAKE STAND LACE WHITE</t>
  </si>
  <si>
    <t xml:space="preserve">  WOODEN FRAME ANTIQUE WHITE  </t>
  </si>
  <si>
    <t xml:space="preserve">CREAM SLICE FLANNEL CHOCOLATE SPOT </t>
  </si>
  <si>
    <t>BABUSHKA LIGHTS STRING OF 10</t>
  </si>
  <si>
    <t>RED SPOTTY SHOPPER BAG</t>
  </si>
  <si>
    <t>85099F</t>
  </si>
  <si>
    <t>JUMBO BAG STRAWBERRY</t>
  </si>
  <si>
    <t xml:space="preserve">RIBBON REEL MAKING SNOWMEN </t>
  </si>
  <si>
    <t>VICTORIAN SEWING KIT</t>
  </si>
  <si>
    <t xml:space="preserve">DECORATION , WOBBLY RABBIT , METAL </t>
  </si>
  <si>
    <t xml:space="preserve">  CAKE STAND 3 TIER MAGIC GARDEN  </t>
  </si>
  <si>
    <t xml:space="preserve">MIRRORED DISCO BALL </t>
  </si>
  <si>
    <t>WOODEN HEART CHRISTMAS SCANDINAVIAN</t>
  </si>
  <si>
    <t xml:space="preserve"> 20969 </t>
  </si>
  <si>
    <t>RED FLORAL FELTCRAFT SHOULDER BAG</t>
  </si>
  <si>
    <t xml:space="preserve"> 20749 </t>
  </si>
  <si>
    <t>SET OF 36 TEATIME PAPER DOILIES</t>
  </si>
  <si>
    <t>84849B</t>
  </si>
  <si>
    <t>FAIRY SOAP SOAP HOLDER</t>
  </si>
  <si>
    <t>AIRLINE BAG VINTAGE TOKYO 78</t>
  </si>
  <si>
    <t>Unspecified</t>
  </si>
  <si>
    <t xml:space="preserve">ROSE COTTAGE KEEPSAKE BOX </t>
  </si>
  <si>
    <t>13843</t>
  </si>
  <si>
    <t>PACK OF 60 PINK PAISLEY CAKE CASES</t>
  </si>
  <si>
    <t xml:space="preserve"> 85216 </t>
  </si>
  <si>
    <t>84802B</t>
  </si>
  <si>
    <t>PURPLE ANEMONE ARTIFICIAL FLOWER</t>
  </si>
  <si>
    <t>84985B</t>
  </si>
  <si>
    <t xml:space="preserve">SET OF 72 BLACK PAPER DOILIES </t>
  </si>
  <si>
    <t>EMPIRE UNION JACK TV DINNER TRAY</t>
  </si>
  <si>
    <t>NEW ENGLAND MUG W GIFT BOX</t>
  </si>
  <si>
    <t>KINGS CHOICE MUG</t>
  </si>
  <si>
    <t>ROUND CONTAINER SET OF 5 RETROSPOT</t>
  </si>
  <si>
    <t>C516149</t>
  </si>
  <si>
    <t>KITCHEN METAL SIGN</t>
  </si>
  <si>
    <t>3.95</t>
  </si>
  <si>
    <t>SILK PURSE BABUSHKA RED</t>
  </si>
  <si>
    <t>POLKADOT CUTLERY 24 PCS IN TRAY</t>
  </si>
  <si>
    <t>MINI JIGSAW BUNNIES</t>
  </si>
  <si>
    <t>SET 10 LIGHTS NIGHT OWL</t>
  </si>
  <si>
    <t>DECORATIVE CATS BATHROOM BOTTLE</t>
  </si>
  <si>
    <t>DOOR MAT TOPIARY</t>
  </si>
  <si>
    <t>BLUE SPOT CERAMIC DRAWER KNOB</t>
  </si>
  <si>
    <t>RED SPOTTY OVEN GLOVE DOUBLE</t>
  </si>
  <si>
    <t>HAND TOWEL PINK FLOWER AND DAISY</t>
  </si>
  <si>
    <t>SALLE DE BAIN HOOK</t>
  </si>
  <si>
    <t>2010-11-08 14:20</t>
  </si>
  <si>
    <t>ROUND SNACK BOXES SET OF 4 SKULLS</t>
  </si>
  <si>
    <t xml:space="preserve">HOUSE WRECKING METAL SIGN </t>
  </si>
  <si>
    <t>72799F</t>
  </si>
  <si>
    <t>IVORY PILLAR CANDLE GOLD FLOCK</t>
  </si>
  <si>
    <t>DOORMAT WELCOME TO OUR HOME</t>
  </si>
  <si>
    <t>AIRLINE BAG VINTAGE JET SET BROWN</t>
  </si>
  <si>
    <t>GINGHAM HEART DECORATION</t>
  </si>
  <si>
    <t>85124A</t>
  </si>
  <si>
    <t>PINK JUICY FRUIT PHOTO FRAME</t>
  </si>
  <si>
    <t>CUSHION COVER PINK UNION FLAG</t>
  </si>
  <si>
    <t xml:space="preserve"> 514220 </t>
  </si>
  <si>
    <t>CERAMIC STRAWBERRY CAKE MONEY BANK</t>
  </si>
  <si>
    <t>85130A</t>
  </si>
  <si>
    <t>BEADED PEARL HEART WHITE LARGE</t>
  </si>
  <si>
    <t>BLUE OWL SOFT TOY</t>
  </si>
  <si>
    <t>DOOR HANGER  MUM + DADS ROOM</t>
  </si>
  <si>
    <t xml:space="preserve"> 22577 </t>
  </si>
  <si>
    <t>DOORMAT RESPECTABLE HOUSE</t>
  </si>
  <si>
    <t>17873</t>
  </si>
  <si>
    <t>Un ited Kingdom</t>
  </si>
  <si>
    <t>FLAMINGO LIGHTS</t>
  </si>
  <si>
    <t>C520975</t>
  </si>
  <si>
    <t>LUNCH BAG CARS BLUE</t>
  </si>
  <si>
    <t xml:space="preserve">  FELTCRAFT BUTTERFLY HEARTS  </t>
  </si>
  <si>
    <t>C514060</t>
  </si>
  <si>
    <t>ANTIQUE LILY FAIRY LIGHTS</t>
  </si>
  <si>
    <t>LAUNDRY 15C METAL SIGN</t>
  </si>
  <si>
    <t>HEART OF WICKER SMALL</t>
  </si>
  <si>
    <t>BLUE PAISLEY NOTEBOOK</t>
  </si>
  <si>
    <t>RETROSPOT RED WASHING UP GLOVES</t>
  </si>
  <si>
    <t>60 TEATIME FAIRY CAKE CASES</t>
  </si>
  <si>
    <t>84459A</t>
  </si>
  <si>
    <t xml:space="preserve">PINK METAL CHICKEN HEART </t>
  </si>
  <si>
    <t xml:space="preserve">GAOLERS KEYS DECORATIVE GARDEN </t>
  </si>
  <si>
    <t>GINGERBREAD MAN COOKIE CUTTER</t>
  </si>
  <si>
    <t>RETRO SPOT PADDED SEAT CUSHION</t>
  </si>
  <si>
    <t xml:space="preserve">CREAM SLICE FLANNEL PINK SPOT </t>
  </si>
  <si>
    <t>BLUE POLKADOT PUDDING BOWL</t>
  </si>
  <si>
    <t>09/27/2010 16:30</t>
  </si>
  <si>
    <t>HOT BATHS METAL SIGN</t>
  </si>
  <si>
    <t xml:space="preserve">LUNCH BAG SUKI  DESIGN </t>
  </si>
  <si>
    <t>VINTAGE BILLBOARD DRINK ME MUG</t>
  </si>
  <si>
    <t xml:space="preserve">KEEP OUT GIRLS DOOR HANGER </t>
  </si>
  <si>
    <t>ENAMEL COLANDER CREAM</t>
  </si>
  <si>
    <t xml:space="preserve">RIBBON REEL FLORA + FAUNA </t>
  </si>
  <si>
    <t>COLUMBIAN CANDLE RECTANGLE</t>
  </si>
  <si>
    <t xml:space="preserve">RED RETROSPOT JUMBO BAG </t>
  </si>
  <si>
    <t xml:space="preserve"> 500098 </t>
  </si>
  <si>
    <t>84520B</t>
  </si>
  <si>
    <t>PACK 20 ENGLISH ROSE PAPER NAPKINS</t>
  </si>
  <si>
    <t>CREAM SWEETHEART MAGAZINE RACK</t>
  </si>
  <si>
    <t>WHITE CHRISTMAS GARLAND STARS TREES</t>
  </si>
  <si>
    <t>LUNCH BAG RED SPOTTY</t>
  </si>
  <si>
    <t xml:space="preserve">VINTAGE HEADS AND TAILS CARD GAME </t>
  </si>
  <si>
    <t>84993A</t>
  </si>
  <si>
    <t>75 GREEN PETIT FOUR CASES</t>
  </si>
  <si>
    <t>RED SPOTTY CUP</t>
  </si>
  <si>
    <t>PINK BLUE FELT CRAFT TRINKET BOX</t>
  </si>
  <si>
    <t>16-11-2010 15:58</t>
  </si>
  <si>
    <t>DAISY GARDEN MARKER</t>
  </si>
  <si>
    <t xml:space="preserve">  MULTICOLOUR SPRING FLOWER MUG  </t>
  </si>
  <si>
    <t>EDWARDIAN PARASOL RED</t>
  </si>
  <si>
    <t>AREA PATROLLED METAL SIGN</t>
  </si>
  <si>
    <t>GREEN REGENCY TEACUP AND SAUCER</t>
  </si>
  <si>
    <t>CACTI T-LIGHT CANDLES</t>
  </si>
  <si>
    <t>85049G</t>
  </si>
  <si>
    <t xml:space="preserve">CHOCOLATE BOX RIBBONS </t>
  </si>
  <si>
    <t xml:space="preserve">  12 RED ROSE PEG PLACE SETTINGS  </t>
  </si>
  <si>
    <t>12835</t>
  </si>
  <si>
    <t>79066K</t>
  </si>
  <si>
    <t>RETRO MOD TRAY</t>
  </si>
  <si>
    <t>C537383</t>
  </si>
  <si>
    <t>DOORMAT UNION JACK GUNS AND ROSES</t>
  </si>
  <si>
    <t>S/12 MINI RABBIT EASTER</t>
  </si>
  <si>
    <t>SILVER VANILLA FLOWER CANDLE POT</t>
  </si>
  <si>
    <t>2</t>
  </si>
  <si>
    <t>72807A</t>
  </si>
  <si>
    <t>SET/3 ROSE CANDLE IN JEWELLED BOX</t>
  </si>
  <si>
    <t>SET OF 6 SOLDIER SKITTLES</t>
  </si>
  <si>
    <t xml:space="preserve">SOLDIERS EGG CUP </t>
  </si>
  <si>
    <t>BOX OF 24 COCKTAIL PARASOLS</t>
  </si>
  <si>
    <t>01/15/2010 16:53</t>
  </si>
  <si>
    <t>0.55</t>
  </si>
  <si>
    <t>15060B</t>
  </si>
  <si>
    <t>FAIRY CAKE DESIGN UMBRELLA</t>
  </si>
  <si>
    <t>BIG DOUGHNUT FRIDGE MAGNETS</t>
  </si>
  <si>
    <t>FLYING PIG WATERING CAN</t>
  </si>
  <si>
    <t>15044A</t>
  </si>
  <si>
    <t xml:space="preserve">PINK PAPER PARASOL </t>
  </si>
  <si>
    <t>TOILET METAL SIGN</t>
  </si>
  <si>
    <t>COUNTRY COTTAGE  DOORSTOP GREEN</t>
  </si>
  <si>
    <t>QUEEN OF SKIES LUGGAGE TAG</t>
  </si>
  <si>
    <t>PINK HEART DOTS HOT WATER BOTTLE</t>
  </si>
  <si>
    <t>35597B</t>
  </si>
  <si>
    <t>BLACKCHRISTMAS TREE 30CM</t>
  </si>
  <si>
    <t>PACK OF 20 SKULL PAPER NAPKINS</t>
  </si>
  <si>
    <t xml:space="preserve">MAGNETS PACK OF 4 VINTAGE LABELS </t>
  </si>
  <si>
    <t>BLUE STRIPE CERAMIC DRAWER KNOB</t>
  </si>
  <si>
    <t>RED RETROSPOT CAKE STAND</t>
  </si>
  <si>
    <t xml:space="preserve">PACK OF 12 SUKI TISSUES </t>
  </si>
  <si>
    <t>WOOD FAN WITH FLOWER DESIGN</t>
  </si>
  <si>
    <t>C504182</t>
  </si>
  <si>
    <t>85035A</t>
  </si>
  <si>
    <t>GARDENIA 3 WICK MORRIS BOXED CANDLE</t>
  </si>
  <si>
    <t>72750D</t>
  </si>
  <si>
    <t>F.FAIRY S/3 CANDLE/GLASS</t>
  </si>
  <si>
    <t>27-10-2010 14:05</t>
  </si>
  <si>
    <t>85232B</t>
  </si>
  <si>
    <t>SET/3 RUSSIAN DOLL STACKING TINS</t>
  </si>
  <si>
    <t>CHILDS BREAKFAST SET CIRCUS PARADE</t>
  </si>
  <si>
    <t>PACK 20 DOLLY PEGS</t>
  </si>
  <si>
    <t>04/07/2010 10:02</t>
  </si>
  <si>
    <t>HOMEMADE JAM SCENTED CANDLES</t>
  </si>
  <si>
    <t>3 HOOK PHOTO SHELF ANTIQUE WHITE</t>
  </si>
  <si>
    <t>OPEN CLOSED METAL SIGN</t>
  </si>
  <si>
    <t>84997D</t>
  </si>
  <si>
    <t>PINK 3 PIECE MINI DOTS CUTLERY SET</t>
  </si>
  <si>
    <t xml:space="preserve">PAPER CHAIN KIT 50'S CHRISTMAS </t>
  </si>
  <si>
    <t>CHARLOTTE BAG , PINK/WHITE SPOTS</t>
  </si>
  <si>
    <t>NATURAL BARK CANDLE SMALL</t>
  </si>
  <si>
    <t>RECIPE BOX PANTRY YELLOW DESIGN</t>
  </si>
  <si>
    <t>RED RETROSPOT SHOPPING BAG</t>
  </si>
  <si>
    <t>10-11-2010 15:34</t>
  </si>
  <si>
    <t>90036D</t>
  </si>
  <si>
    <t>FLOWER GLASS GARLAND NECKL.36"BLACK</t>
  </si>
  <si>
    <t>BOUDOIR SQUARE TISSUE BOX</t>
  </si>
  <si>
    <t>3 HOOK HANGER MAGIC GARDEN</t>
  </si>
  <si>
    <t xml:space="preserve">GUMBALL COATHOOK., BLACK &amp; WHITE </t>
  </si>
  <si>
    <t>3 HEARTS HANGING DECORATION RUSTIC</t>
  </si>
  <si>
    <t>SET/6 COLLAGE PAPER CUPS</t>
  </si>
  <si>
    <t>CHARLOTTE BAG SUKI DESIGN</t>
  </si>
  <si>
    <t>JARDIN ETCHED GLASS FRUITBOWL</t>
  </si>
  <si>
    <t>ENAMEL WATERING CAN CREAM</t>
  </si>
  <si>
    <t>C528587</t>
  </si>
  <si>
    <t xml:space="preserve">SET OF 6 T-LIGHTS WEDDING CAKE </t>
  </si>
  <si>
    <t>84534B</t>
  </si>
  <si>
    <t>FAIRY CAKE NOTEBOOK A5 SIZE</t>
  </si>
  <si>
    <t>POTTING SHED SEED ENVELOPES</t>
  </si>
  <si>
    <t xml:space="preserve">MINI JIGSAW BAKE A CAKE </t>
  </si>
  <si>
    <t>POTTING SHED SEED TIN</t>
  </si>
  <si>
    <t>ACRYLIC GEOMETRIC LAMP</t>
  </si>
  <si>
    <t>FRENCH BLUE METAL DOOR SIGN 2</t>
  </si>
  <si>
    <t>85132B</t>
  </si>
  <si>
    <t>CHARLIE AND LOLA TABLE TINS</t>
  </si>
  <si>
    <t xml:space="preserve">MAGIC DRAWING SLATE SPACEBOY </t>
  </si>
  <si>
    <t>15044D</t>
  </si>
  <si>
    <t>RED PAPER PARASOL</t>
  </si>
  <si>
    <t xml:space="preserve">MILK BOTTLE WITH GLASS STOPPER </t>
  </si>
  <si>
    <t>POTTING SHED TWINE</t>
  </si>
  <si>
    <t>STRAWBERRY FAIRY CAKE TEAPOT</t>
  </si>
  <si>
    <t>POST</t>
  </si>
  <si>
    <t>POSTAGE</t>
  </si>
  <si>
    <t>C500705</t>
  </si>
  <si>
    <t>BLUE PAISLEY SKETCHBOOK</t>
  </si>
  <si>
    <t xml:space="preserve">TRIPLE PHOTO FRAME CORNICE </t>
  </si>
  <si>
    <t>47599B</t>
  </si>
  <si>
    <t xml:space="preserve">BLUE PARTY BAGS </t>
  </si>
  <si>
    <t>ROSE CARAVAN DOORSTOP</t>
  </si>
  <si>
    <t>WOOD S/3 CABINET ANT WHITE FINISH</t>
  </si>
  <si>
    <t xml:space="preserve">  SET OF 12 ROSE BOTANICAL T-LIGHTS  </t>
  </si>
  <si>
    <t xml:space="preserve">  GINGHAM BABUSHKA DOORSTOP  </t>
  </si>
  <si>
    <t>90199C</t>
  </si>
  <si>
    <t>5 STRAND GLASS NECKLACE CRYSTAL</t>
  </si>
  <si>
    <t>6.35</t>
  </si>
  <si>
    <t xml:space="preserve">RETRO SPOT TRADITIONAL TEAPOT </t>
  </si>
  <si>
    <t>RED RETROSPOT CHARLOTTE BAG</t>
  </si>
  <si>
    <t>84910A</t>
  </si>
  <si>
    <t xml:space="preserve">PINK PAISLEY CUSHION COVER </t>
  </si>
  <si>
    <t>PINK  SPOTTY CUP</t>
  </si>
  <si>
    <t>SMALL POPCORN HOLDER</t>
  </si>
  <si>
    <t>12 PENCILS SMALL TUBE RED SPOTTY</t>
  </si>
  <si>
    <t>31-03-2010 10:32</t>
  </si>
  <si>
    <t>SWEETHEART CAKESTAND 3 TIER</t>
  </si>
  <si>
    <t>PAIR PINK/BLACK COATHANGERS</t>
  </si>
  <si>
    <t>JUMBO BAG PINK WITH WHITE SPOTS</t>
  </si>
  <si>
    <t xml:space="preserve">MOODY GIRL DOOR HANGER </t>
  </si>
  <si>
    <t>PLASTERS IN TIN WOODLAND ANIMALS</t>
  </si>
  <si>
    <t xml:space="preserve">SNOWFLAKE PORTABLE TABLE LIGHT </t>
  </si>
  <si>
    <t>SKULLS PARTY BAG + STICKER SET</t>
  </si>
  <si>
    <t>VINTAGE NOTEBOOK BEAUTY GIRL</t>
  </si>
  <si>
    <t xml:space="preserve">  GLASS CLOCHE LARGE  </t>
  </si>
  <si>
    <t>15CM CHRISTMAS GLASS BALL 20 LIGHTS</t>
  </si>
  <si>
    <t>WOODEN PICTURE FRAME WHITE FINISH</t>
  </si>
  <si>
    <t>47590B</t>
  </si>
  <si>
    <t>PINK HAPPY BIRTHDAY BUNTING</t>
  </si>
  <si>
    <t>FULL ENGLISH BREAKFAST PLATE</t>
  </si>
  <si>
    <t xml:space="preserve">PENS ASSORTED FUNKY JEWELED </t>
  </si>
  <si>
    <t>RED ROSE AND LACE C/COVER</t>
  </si>
  <si>
    <t>WHITE WIRE EGG HOLDER</t>
  </si>
  <si>
    <t>CHILDS GARDEN RAKE BLUE</t>
  </si>
  <si>
    <t>WELCOME METAL SIGN</t>
  </si>
  <si>
    <t>EIGHT PIECE CREEPY CRAWLIE SET</t>
  </si>
  <si>
    <t>12 PENCILS TALL TUBE RED SPOTTY</t>
  </si>
  <si>
    <t>C524398</t>
  </si>
  <si>
    <t>84952B</t>
  </si>
  <si>
    <t>BLACK LOVE BIRD T-LIGHT HOLDER</t>
  </si>
  <si>
    <t>CLASSICAL ROSE SMALL VASE</t>
  </si>
  <si>
    <t>MEMO BOARD RETROSPOT  DESIGN</t>
  </si>
  <si>
    <t>SMALL RED SPOT  WINDMILL</t>
  </si>
  <si>
    <t>RED RETROSPOT BOWL</t>
  </si>
  <si>
    <t>17238</t>
  </si>
  <si>
    <t>C528904</t>
  </si>
  <si>
    <t xml:space="preserve">RECIPE BOX RETROSPOT </t>
  </si>
  <si>
    <t>MINATURE COLOURED GARDENING SET</t>
  </si>
  <si>
    <t>CARDHOLDER GINGHAM CHRISTMAS TREE</t>
  </si>
  <si>
    <t xml:space="preserve">NOEL WOODEN BLOCK LETTERS </t>
  </si>
  <si>
    <t>RED RETROSPOT PICNIC BAG</t>
  </si>
  <si>
    <t>84926C</t>
  </si>
  <si>
    <t>FAIRY CAKES TILE COASTER</t>
  </si>
  <si>
    <t>CHRISTMAS LIGHTS 10 VINTAGE BAUBLES</t>
  </si>
  <si>
    <t>90195A</t>
  </si>
  <si>
    <t>PURPLE GEMSTONE BRACELET</t>
  </si>
  <si>
    <t>09-11-2010 10:29</t>
  </si>
  <si>
    <t>WOODEN SKITTLES GARDEN SET</t>
  </si>
  <si>
    <t>eire</t>
  </si>
  <si>
    <t>DOORMAT NEW ENGLAND</t>
  </si>
  <si>
    <t xml:space="preserve">CHRISTMAS METAL TAGS ASSORTED </t>
  </si>
  <si>
    <t xml:space="preserve">PLASTERS IN TIN VINTAGE PAISLEY </t>
  </si>
  <si>
    <t>RECYCLED PENCIL WITH RABBIT ERASER</t>
  </si>
  <si>
    <t>FOLKART HEART NAPKIN RINGS</t>
  </si>
  <si>
    <t>RED GINGHAM ROSE JEWELLERY BOX</t>
  </si>
  <si>
    <t>KIDS RAIN MAC BLUE</t>
  </si>
  <si>
    <t>PAINT YOUR OWN CANVAS SET</t>
  </si>
  <si>
    <t>12748</t>
  </si>
  <si>
    <t>RETRO SPOT CANDLE  SMALL</t>
  </si>
  <si>
    <t xml:space="preserve">ROUND SNACK BOXES SET OF4 WOODLAND </t>
  </si>
  <si>
    <t>31/03/2010 11:40</t>
  </si>
  <si>
    <t>MILK PAN PINK RETROSPOT</t>
  </si>
  <si>
    <t xml:space="preserve">RED RETROSPOT TRADITIONAL TEAPOT </t>
  </si>
  <si>
    <t>FILIGRIS HEART WITH BUTTERFLY</t>
  </si>
  <si>
    <t xml:space="preserve">LARGE POPCORN HOLDER </t>
  </si>
  <si>
    <t>85185C</t>
  </si>
  <si>
    <t>COW  SOCK PUPPET</t>
  </si>
  <si>
    <t xml:space="preserve"> 22383 </t>
  </si>
  <si>
    <t>PACK OF 12 COLOURED PENCILS</t>
  </si>
  <si>
    <t xml:space="preserve">OFFICE MUG WARMER BLACK+SILVER </t>
  </si>
  <si>
    <t>DOOR MAT FAIRY CAKE</t>
  </si>
  <si>
    <t xml:space="preserve">FELT EGG COSY WHITE RABBIT </t>
  </si>
  <si>
    <t>85023B</t>
  </si>
  <si>
    <t>EAU DE NILE JEWELLED PHOTOFRAME</t>
  </si>
  <si>
    <t>SCANDINAVIAN PAISLEY PICNIC BAG</t>
  </si>
  <si>
    <t>C2</t>
  </si>
  <si>
    <t>CARRIAGE</t>
  </si>
  <si>
    <t>SPRING DEC , HANGING CHICK  GREEN</t>
  </si>
  <si>
    <t>Finland</t>
  </si>
  <si>
    <t xml:space="preserve"> 520877 </t>
  </si>
  <si>
    <t>CHERRY CROCHET FOOD COVER</t>
  </si>
  <si>
    <t>RED HANGING HEART T-LIGHT HOLDER</t>
  </si>
  <si>
    <t>DOORMAT RED SPOT</t>
  </si>
  <si>
    <t>26/08/2010 11:43</t>
  </si>
  <si>
    <t>CARD MOTORBIKE SANTA</t>
  </si>
  <si>
    <t xml:space="preserve">  VINTAGE BLUE TINSEL REEL  </t>
  </si>
  <si>
    <t>FELTCRAFT DOLL ROSIE</t>
  </si>
  <si>
    <t>14451</t>
  </si>
  <si>
    <t>C501330</t>
  </si>
  <si>
    <t>16558</t>
  </si>
  <si>
    <t>84762B</t>
  </si>
  <si>
    <t>PINK PICNIC BARBECUE BUCKET</t>
  </si>
  <si>
    <t xml:space="preserve">JUMBO BAG RED WHITE SPOTTY </t>
  </si>
  <si>
    <t>COSY HOUR GIANT TUBE MATCHES</t>
  </si>
  <si>
    <t>17589</t>
  </si>
  <si>
    <t xml:space="preserve">SKULLS  WATER TRANSFER TATTOOS </t>
  </si>
  <si>
    <t>SET/4 BADGES BALLOON GIRL</t>
  </si>
  <si>
    <t xml:space="preserve">CLOTHES PEGS RETROSPOT PACK 24 </t>
  </si>
  <si>
    <t>SET OF 2 TEA TOWELS PING MICROWAVE</t>
  </si>
  <si>
    <t>90160C</t>
  </si>
  <si>
    <t>TURQ+RED BOUDICCA LARGE BRACELET</t>
  </si>
  <si>
    <t>BOYS VINTAGE TIN SEASIDE BUCKET</t>
  </si>
  <si>
    <t>SMALL RETRO SPOT MUG IN BOX  WHITE</t>
  </si>
  <si>
    <t xml:space="preserve">VICTORIAN SEWING BOX SMALL </t>
  </si>
  <si>
    <t xml:space="preserve">LUNCH BAG SPACEBOY DESIGN </t>
  </si>
  <si>
    <t>RETROSPOT HEART HOT WATER BOTTLE</t>
  </si>
  <si>
    <t>BUTTERFLIES  HONEYCOMB GARLAND</t>
  </si>
  <si>
    <t>LARGE HEART MEASURING SPOONS</t>
  </si>
  <si>
    <t xml:space="preserve">GLASS JAR MARMALADE </t>
  </si>
  <si>
    <t>SET OF THREE VINTAGE GIFT WRAPS</t>
  </si>
  <si>
    <t>FRYING PAN RED RETROSPOT</t>
  </si>
  <si>
    <t xml:space="preserve">  HOT BATHS METAL SIGN  </t>
  </si>
  <si>
    <t>36 PENCILS TUBE SKULLS</t>
  </si>
  <si>
    <t>84993B</t>
  </si>
  <si>
    <t>75 BLACK PETIT FOUR CASES</t>
  </si>
  <si>
    <t xml:space="preserve">RIBBON REEL LACE DESIGN </t>
  </si>
  <si>
    <t>HOME SMALL WOOD LETTERS</t>
  </si>
  <si>
    <t xml:space="preserve">HAND OVER THE CHOCOLATE   SIGN </t>
  </si>
  <si>
    <t>SET OF 6 T-LIGHTS SANTA</t>
  </si>
  <si>
    <t>COLOUR GLASS T-LIGHT HOLDER HANGING</t>
  </si>
  <si>
    <t>SMALL RED RETROSPOT WINDMILL</t>
  </si>
  <si>
    <t>PAPER BUNTING VINTAGE PAISLEY</t>
  </si>
  <si>
    <t>47566B</t>
  </si>
  <si>
    <t>TEA TIME PARTY BUNTING</t>
  </si>
  <si>
    <t xml:space="preserve">FELTCRAFT HAIRBANDS PINK AND WHITE </t>
  </si>
  <si>
    <t>FAWN BLUE HOT WATER BOTTLE</t>
  </si>
  <si>
    <t>VICTORIAN METAL POSTCARD CHRISTMAS</t>
  </si>
  <si>
    <t>01-10-2010 12:24</t>
  </si>
  <si>
    <t xml:space="preserve">COOK WITH WINE METAL SIGN </t>
  </si>
  <si>
    <t>DOOR MAT HEARTS</t>
  </si>
  <si>
    <t>60 GOLD AND SILVER FAIRY CAKE CASES</t>
  </si>
  <si>
    <t>HOT WATER BOTTLE TEA AND SYMPATHY</t>
  </si>
  <si>
    <t>MINT KITCHEN SCALES</t>
  </si>
  <si>
    <t>SKULLS  STICKERS</t>
  </si>
  <si>
    <t>CHOCOLATE CALCULATOR</t>
  </si>
  <si>
    <t>10/28/2010 19:59</t>
  </si>
  <si>
    <t>POCKET MIRROR "GLAMOROUS"</t>
  </si>
  <si>
    <t>GIFT BAG PSYCHEDELIC APPLES</t>
  </si>
  <si>
    <t>RED SPOTTY CANDY BAG</t>
  </si>
  <si>
    <t xml:space="preserve">BLUE/CREAM STRIPE CUSHION COVER </t>
  </si>
  <si>
    <t>PAPERWEIGHT SAVE THE PLANET</t>
  </si>
  <si>
    <t>SWEETHEART CREAM STEEL FOLDIN BENCH</t>
  </si>
  <si>
    <t>BISCUIT TIN VINTAGE RED</t>
  </si>
  <si>
    <t xml:space="preserve">  72 SWEETHEART FAIRY CAKE CASES  </t>
  </si>
  <si>
    <t>POPPY'S PLAYHOUSE KITCHEN</t>
  </si>
  <si>
    <t>PIN CUSHION RUSSIAN DOLL BLUE</t>
  </si>
  <si>
    <t>PAPER BUNTING WHITE LACE</t>
  </si>
  <si>
    <t>2010-04-29 15:32</t>
  </si>
  <si>
    <t xml:space="preserve">LARGE WHITE HONEYCOMB PAPER BELL  </t>
  </si>
  <si>
    <t xml:space="preserve">RED SPOTTY PURSE </t>
  </si>
  <si>
    <t>PARTY CONES CANDY ASSORTED</t>
  </si>
  <si>
    <t>COFFEE SCENT PILLAR CANDLE</t>
  </si>
  <si>
    <t xml:space="preserve">  RED KITCHEN SCALES  </t>
  </si>
  <si>
    <t xml:space="preserve">RED/CREAM STRIPE CUSHION COVER </t>
  </si>
  <si>
    <t>RED RETROSPOT STORAGE JAR</t>
  </si>
  <si>
    <t xml:space="preserve">DAISIES  HONEYCOMB GARLAND </t>
  </si>
  <si>
    <t>05/09/2010 14:54</t>
  </si>
  <si>
    <t>24 HANGING EASTER EGGS FLORAL TUB</t>
  </si>
  <si>
    <t>PHARMACIE FIRST AID TIN</t>
  </si>
  <si>
    <t>ASSTD DESIGN BUBBLE GUM RING</t>
  </si>
  <si>
    <t>WOOD STAMP SET BEST WISHES</t>
  </si>
  <si>
    <t>C517227</t>
  </si>
  <si>
    <t>HANGING BAUBLE T-LIGHT HOLDER SMALL</t>
  </si>
  <si>
    <t>84971S</t>
  </si>
  <si>
    <t xml:space="preserve">SMALL HEART FLOWERS HOOK </t>
  </si>
  <si>
    <t xml:space="preserve">  SET/10 PINK SPOTTY PARTY CANDLES  </t>
  </si>
  <si>
    <t>85226C</t>
  </si>
  <si>
    <t>BLUE PULL BACK RACING CAR</t>
  </si>
  <si>
    <t xml:space="preserve">MAGIC DRAWING SLATE DOLLY GIRL </t>
  </si>
  <si>
    <t>2010-11-17 12:36</t>
  </si>
  <si>
    <t>84997A</t>
  </si>
  <si>
    <t>GREEN 3 PIECE POLKADOT CUTLERY SET</t>
  </si>
  <si>
    <t>RED  SPOTTY COFFEE  MUG</t>
  </si>
  <si>
    <t xml:space="preserve">5 HOOK BLACKBOARD ORGANISER </t>
  </si>
  <si>
    <t xml:space="preserve">SMALL HAMMERED SILVER CANDLEPOT </t>
  </si>
  <si>
    <t>ASSTD DESIGN RACING CAR PEN</t>
  </si>
  <si>
    <t>Eire</t>
  </si>
  <si>
    <t>Rsa</t>
  </si>
  <si>
    <t>Usa</t>
  </si>
  <si>
    <t>Uk</t>
  </si>
  <si>
    <t>Un Ited Kingdom</t>
  </si>
  <si>
    <t>Revenue</t>
  </si>
  <si>
    <t>Total Revenue</t>
  </si>
  <si>
    <t>Number of Transaction</t>
  </si>
  <si>
    <t>Average Revenue</t>
  </si>
  <si>
    <t>Row Labels</t>
  </si>
  <si>
    <t>Grand Total</t>
  </si>
  <si>
    <t>Sum of Revenue</t>
  </si>
  <si>
    <t>SECTION 4: REVENUE BY COUNTRY</t>
  </si>
  <si>
    <t>SECTION 5: TRANSACTION BY COUNTRY</t>
  </si>
  <si>
    <t>DENMARK</t>
  </si>
  <si>
    <t>NETHERLANDS</t>
  </si>
  <si>
    <t>ASSORTED FARM YARD ANIMALS IN BUCKET</t>
  </si>
  <si>
    <t>SECTION 6: AVERAGE  REVENUE BY COUNTRY</t>
  </si>
  <si>
    <t>SECTION 7: PIVOT TABLE 1</t>
  </si>
  <si>
    <t>SECTION 8: PIVOT TABLE 2</t>
  </si>
  <si>
    <t>SECTION 10: KEY INSIGHT</t>
  </si>
  <si>
    <t>1.Some country had a low transaction but has a higher average transaction value</t>
  </si>
  <si>
    <t>2. Some country had a high transaction but has a lower average transaction value</t>
  </si>
  <si>
    <t>3. the higher sales prouct came from denmark even the number of sales was small</t>
  </si>
  <si>
    <t>4. 70% Product sales was made by united kingdom</t>
  </si>
  <si>
    <t>5. small number of product generated large proportion of the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</si>
</sst>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yyyy\-mm\-dd\ hh:mm:ss"/>
    <numFmt numFmtId="165" formatCode="m/d/yy\ h:mm;@"/>
    <numFmt numFmtId="166" formatCode="0;[Red]0"/>
    <numFmt numFmtId="167" formatCode="#,##0;[Red]#,##0"/>
    <numFmt numFmtId="168" formatCode="0.00;[Red]0.00"/>
    <numFmt numFmtId="169" formatCode="[$-409]m/d/yy\ h:mm\ AM/PM;@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165" fontId="0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6" fontId="0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0" fontId="4" fillId="0" borderId="0" xfId="0" applyFont="1"/>
    <xf numFmtId="164" fontId="9" fillId="0" borderId="0" xfId="0" applyNumberFormat="1" applyFont="1"/>
    <xf numFmtId="0" fontId="8" fillId="0" borderId="1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/>
    <xf numFmtId="169" fontId="5" fillId="0" borderId="1" xfId="0" applyNumberFormat="1" applyFont="1" applyBorder="1" applyAlignment="1">
      <alignment horizontal="center" vertical="center"/>
    </xf>
    <xf numFmtId="169" fontId="7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69" fontId="0" fillId="0" borderId="0" xfId="0" applyNumberFormat="1" applyFont="1" applyAlignment="1">
      <alignment horizontal="right"/>
    </xf>
    <xf numFmtId="169" fontId="0" fillId="0" borderId="0" xfId="0" applyNumberFormat="1" applyFont="1" applyAlignment="1"/>
    <xf numFmtId="0" fontId="3" fillId="0" borderId="0" xfId="0" applyFont="1" applyAlignment="1"/>
    <xf numFmtId="0" fontId="0" fillId="0" borderId="2" xfId="0" applyFont="1" applyBorder="1"/>
    <xf numFmtId="0" fontId="0" fillId="0" borderId="3" xfId="0" applyFont="1" applyBorder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8" fillId="0" borderId="0" xfId="0" applyFont="1" applyAlignment="1"/>
    <xf numFmtId="0" fontId="2" fillId="0" borderId="0" xfId="0" applyFont="1" applyAlignment="1"/>
    <xf numFmtId="0" fontId="0" fillId="0" borderId="0" xfId="0" applyFont="1" applyFill="1" applyBorder="1" applyAlignment="1"/>
    <xf numFmtId="0" fontId="1" fillId="0" borderId="0" xfId="0" applyFont="1" applyAlignme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#,##0;[Red]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0.00;[Red]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[$-409]m/d/yy\ h:mm\ AM/PM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;[Red]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#,##0;[Red]#,##0"/>
      <alignment horizontal="righ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301.655842245367" createdVersion="4" refreshedVersion="4" minRefreshableVersion="3" recordCount="973">
  <cacheSource type="worksheet">
    <worksheetSource name="Table2"/>
  </cacheSource>
  <cacheFields count="9">
    <cacheField name="Invoice" numFmtId="167">
      <sharedItems containsMixedTypes="1" containsNumber="1" containsInteger="1" minValue="489439" maxValue="538064"/>
    </cacheField>
    <cacheField name="StockCode" numFmtId="0">
      <sharedItems containsMixedTypes="1" containsNumber="1" containsInteger="1" minValue="10125" maxValue="90096"/>
    </cacheField>
    <cacheField name="Description" numFmtId="49">
      <sharedItems count="722">
        <s v="FIVE HEART HANGING DECORATION"/>
        <s v="LOO ROLL  METAL SIGN "/>
        <s v="RECIPE BOX WITH METAL HEART"/>
        <s v="ZINC METAL HEART DECORATION"/>
        <s v="STRAWBERRY LUNCHBOX WITH CUTLERY"/>
        <s v="  CUT GLASS T-LIGHT HOLDER OCTAGON  "/>
        <s v="METAL MERRY CHRISTMAS WREATH"/>
        <s v="PAPER CHAIN KIT RETRO SPOT"/>
        <s v="RED/WHITE DOTS RUFFLED UMBRELLA"/>
        <s v="RETROSPOT CHILDRENS APRON"/>
        <s v="ANTIQUE SILVER TEA GLASS ETCHED"/>
        <s v="WOOD BLACK BOARD ANT WHITE FINISH"/>
        <s v="CHILDS GARDEN BRUSH PINK"/>
        <s v="WOODEN SCHOOL COLOURING SET"/>
        <s v="CLEAR MILKSHAKE GLASS"/>
        <s v="DOOR MAT WELCOME PUPPIES"/>
        <s v="MINI FUNKY DESIGN TAPES"/>
        <s v="SMALL SILVER TRELLIS CANDLEPOT"/>
        <s v="IVORY ENCHANTED FOREST PLACEMAT"/>
        <s v="METAL SIGN TAKE IT OR LEAVE IT "/>
        <s v="36 PENCILS TUBE RED SPOTTY"/>
        <s v=" WHITE CHERRY LIGHTS"/>
        <s v="PURPLE PAPER PARASOL"/>
        <s v="WHITE ADVENT CANDLE"/>
        <s v="WHITE TISSUE REAM"/>
        <s v="VICTORIAN SEWING BOX LARGE"/>
        <s v="SET/10 PINK POLKADOT PARTY CANDLES"/>
        <s v="ETCHED GLASS STAR TREE DECORATION"/>
        <s v="EDWARDIAN PARASOL BLACK"/>
        <s v="PARTY BUNTING"/>
        <s v="FELTCRAFT CUSHION BUTTERFLY"/>
        <s v="JUMBO STORAGE BAG SKULLS"/>
        <s v="PLASTERS IN TIN CIRCUS PARADE "/>
        <s v="BLUE POLKADOT WRAP"/>
        <s v="SMALL HEART MEASURING SPOONS"/>
        <s v="SET OF 4 FAIRY CAKES COASTERS "/>
        <s v="S/6 WOODEN SKITTLES IN COTTON BAG"/>
        <s v="KEY FOB , SHED"/>
        <s v="JUMBO BAG WOODLAND ANIMALS"/>
        <s v="RED HEART SHAPE LOVE BUCKET "/>
        <s v="ZINC WILLIE WINKIE  CANDLE STICK"/>
        <s v="GREEN  DIAMANTE PEN IN GIFT BOX"/>
        <s v="HANGING GLASS ETCHED TEALIGHT"/>
        <s v="VINTAGE CARAVAN GIFT WRAP"/>
        <s v="  HANGING HEART JAR T-LIGHT HOLDER  "/>
        <s v="DOORSTOP RUSSIAN DOLL RETROSPOT"/>
        <s v="SET/5 RED SPOTTY LID GLASS BOWLS"/>
        <s v="SET 7 BABUSHKA NESTING BOXES"/>
        <s v="CAKE STAND 3 TIER MAGIC GARDEN"/>
        <s v="TOY TIDY SPACEBOY  "/>
        <s v="ELEPHANT TOY WITH BLUE T-SHIRT"/>
        <s v="COLOUR GLASS. STAR T-LIGHT HOLDER"/>
        <s v="TRADITIONAL WOODEN CATCH CUP GAME "/>
        <s v="RED SPOTTY CHILDS APRON"/>
        <s v="VINTAGE UNION JACK CUSHION COVER"/>
        <s v="ROUND SNACK BOXES SET OF 4 FRUITS "/>
        <s v="PINK PATCH PENCIL CASE BLUE HEART"/>
        <s v="RAINY LADIES BIRTHDAY CARD"/>
        <s v="POPPY'S PLAYHOUSE BEDROOM "/>
        <s v="RED TOADSTOOL LED NIGHT LIGHT"/>
        <s v="CHARLOTTE BAG , SUKI DESIGN"/>
        <s v="GREEN GINGHAM FLOWER JEWELLERY BOX"/>
        <s v="DOORMAT UNION FLAG"/>
        <s v="JOY WOODEN BLOCK LETTERS"/>
        <s v="RECIPE BOX BLUE SKETCHBOOK DESIGN"/>
        <s v="WOODEN CROQUET GARDEN SET"/>
        <s v="SET/3 VANILLA SCENTED CANDLE IN BOX"/>
        <s v="SET OF 9 HEART SHAPED BALLOONS"/>
        <s v="BIRD DECORATION RED SPOT"/>
        <s v="6 RIBBONS EMPIRE  "/>
        <s v="ASSORTED FARMYARD ANIMALS IN BUCKET"/>
        <s v="SET/10 RED SPOTTY PARTY CANDLES"/>
        <s v="WALL TIDY RETROSPOT "/>
        <s v="GIN + TONIC DIET METAL SIGN"/>
        <s v="FELT EGG COSY CHICKEN"/>
        <s v="DOOR MAT ENGLISH ROSE "/>
        <s v="CREAM FELT EASTER EGG BASKET"/>
        <s v="HEART FILIGREE DOVE  SMALL"/>
        <s v="PACK OF 72 RETRO SPOT CAKE CASES"/>
        <s v="SET OF 3 BUTTERFLY COOKIE CUTTERS"/>
        <s v="MOUSE TOY WITH PINK T-SHIRT"/>
        <s v="SET3 BOOK BOX GREEN GINGHAM FLOWER "/>
        <s v="SWEETHEART KEY CABINET"/>
        <s v="PACK OF 12 PINK POLKADOT TISSUES"/>
        <s v="RED RETROSPOT SMALL MILK JUG"/>
        <s v="ASSORTED COLOUR MINI CASES"/>
        <s v="RETRO SPOT TEA SET CERAMIC 11 PC "/>
        <s v="SET 3 RED SPOT TIN TEA,COFFEE,SUGAR"/>
        <s v="WOODLAND STORAGE BOX SMALL"/>
        <s v="BLUE FELT EASTER EGG BASKET"/>
        <s v="SILVER GLASS T-LIGHT SET"/>
        <s v="RED 3 PIECE MINI DOTS CUTLERY SET"/>
        <s v="ASSORTED COLOUR BIRD ORNAMENT"/>
        <s v="APRON MODERN VINTAGE COTTON"/>
        <s v="GLASS STAR FROSTED T-LIGHT HOLDER"/>
        <s v="GREY HEART HOT WATER BOTTLE"/>
        <s v="BINGO SET"/>
        <s v="3D TRADITIONAL CHRISTMAS STICKERS"/>
        <s v="WOOD STAMP SET THANK YOU"/>
        <s v="CHRISTMAS CRAFT TREE TOP ANGEL"/>
        <s v="WHITE HANGING HEART T-LIGHT HOLDER"/>
        <s v="METAL DECORATION NAUGHTY CHILDREN "/>
        <s v="STRAWBERRY BATH SPONGE "/>
        <s v="SET OF 20 VINTAGE CHRISTMAS NAPKINS"/>
        <s v="HANGING FAIRY CAKE DECORATION"/>
        <s v="ENGLISH ROSE DESIGN PEG BAG"/>
        <s v="RED 3 PIECE RETROSPOT CUTLERY SET"/>
        <s v="BALLOON WATER BOMB PACK OF 35"/>
        <s v="GOLD WINE GLASS"/>
        <s v="HEART OF WICKER LARGE"/>
        <s v="LADLE LOVE HEART RED "/>
        <s v="SKULLS WRITING SET "/>
        <s v="WOODEN ADVENT CALENDAR RED"/>
        <s v="RECYCLING BAG RETROSPOT "/>
        <s v="RUSTIC WOODEN CABINET, GLASS DOORS"/>
        <s v="RIBBON REEL STRIPES DESIGN "/>
        <s v="SCOTTIES DESIGN WASHBAG"/>
        <s v="COFFEE MUG APPLES DESIGN"/>
        <s v="BAKING SET SPACEBOY DESIGN"/>
        <s v="SPACEBOY CHILDRENS EGG CUP"/>
        <s v="S/3 FLWR FAIRY ROSE CANDLES"/>
        <s v="SCOTTIE DOG HOT WATER BOTTLE"/>
        <s v="ECONOMY PASSPORT COVER "/>
        <s v="GLAMOROUS  MUG"/>
        <s v="LIPSTICK PEN FUSCHIA"/>
        <s v="PACK OF 20 SPACEBOY NAPKINS"/>
        <s v="DOOR MAT UNION FLAG"/>
        <s v="CHRISTMAS GINGHAM HEART"/>
        <s v="ORANGE SCENTED SET/9 T-LIGHTS"/>
        <s v="PACK OF 6 SKULL PAPER CUPS"/>
        <s v="UNION JACK FLAG LUGGAGE TAG"/>
        <s v="RETRO RED SPOTTY WASHING UP GLOVES"/>
        <s v="LADIES &amp; GENTLEMEN METAL SIGN"/>
        <s v="I CAN ONLY PLEASE ONE PERSON MUG"/>
        <s v="VICTORIAN GLASS HANGING T-LIGHT"/>
        <s v="NO JUNK MAIL METAL SIGN"/>
        <s v="DOORMAT HEARTS"/>
        <s v="6 RIBBONS RUSTIC CHARM"/>
        <s v="FOLDING UMBRELLA  PINK/WHITE  SPOT"/>
        <s v="CHOCOLATE HOT WATER BOTTLE"/>
        <s v="DOORMAT 3 SMILEY CATS"/>
        <s v="GARDENERS KNEELING PAD"/>
        <s v="FIRST AID TIN"/>
        <s v="BLACK DINER WALL CLOCK"/>
        <s v="FELT FARM ANIMAL CHICKEN"/>
        <s v="JUMBO SHOPPER VINTAGE RED PAISLEY"/>
        <s v="ENAMEL MEASURING JUG CREAM"/>
        <s v="HOT WATER BOTTLE I AM SO POORLY"/>
        <s v="GLASS  BEURRE DISH"/>
        <s v="SET OF 3 NOTEBOOKS IN PARCEL"/>
        <s v="GLASS ETCHED T-LIGHT HOLDER MEDIUM"/>
        <s v="VICTORIAN  METAL POSTCARD SPRING"/>
        <s v="ARCHED GREY MIRROR"/>
        <s v="CALENDAR PAPER CUT DESIGN"/>
        <s v="CERAMIC CAKE DESIGN SPOTTED PLATE"/>
        <s v="ASSORTED CAKES FRIDGE MAGNETS"/>
        <s v="SMALL TALL CAMPHOR WOOD TOADSTOOL"/>
        <s v="CERAMIC CAKE DESIGN SPOTTED MUG"/>
        <s v="6 EGG HOUSE PAINTED WOOD"/>
        <s v="CERAMIC LOVE HEARTS DESIGN MUG"/>
        <s v="SPRING DEC , HANGING CHICK  YELLOW"/>
        <s v="PLACE SETTING WHITE HEART"/>
        <s v="ENCHANTED BIRD PLANT CAGE"/>
        <s v="LUNCH BAG WOODLAND"/>
        <s v="RED LOVE HEART SHAPE CUP"/>
        <s v="WOODEN FRAME ANTIQUE WHITE "/>
        <s v="HALL CABINET WITH 3 DRAWERS"/>
        <s v="FELTCRAFT CHRISTMAS FAIRY"/>
        <s v="PINK CAT BOWL"/>
        <s v="ASS FLORAL PRINT SCISSORS"/>
        <s v="KINGS CHOICE GIANT TUBE MATCHES"/>
        <s v="GOLD FABRIC MIRROR"/>
        <s v="TEA TIME TEAPOT IN GIFT BOX"/>
        <s v="PACK OF 72 SKULL CAKE CASES"/>
        <s v="36 FOIL HEART CAKE CASES"/>
        <s v="HAND WARMER UNION JACK"/>
        <s v="PINK  HEART SHAPE LOVE BUCKET "/>
        <s v="JAZZ HEARTS PURSE NOTEBOOK"/>
        <s v="PICNIC BASKET WICKER LARGE"/>
        <s v="CANDY BUTTON PHOTO ALBUM"/>
        <s v="RETRO SPOT CAKE STAND"/>
        <s v="WOODEN ROUNDERS GARDEN SET "/>
        <s v="GROW YOUR OWN BASIL IN ENAMEL MUG"/>
        <s v="BUNNY EGG BOX"/>
        <s v="VINTAGE SNAP CARDS"/>
        <s v="SWALLOW WOODEN CHRISTMAS DECORATION"/>
        <s v="PLASTERS IN TIN SKULLS"/>
        <s v="MAGNETS PACK OF 4 RETRO PHOTO"/>
        <s v="SILVER TEDDY BEAR"/>
        <s v="SET OF 6 VINTAGE NOTELETS KIT"/>
        <s v="CREAM CUPID HEARTS COAT HANGER"/>
        <s v="BLUE SCOTTIE DOG W FLOWER PATTERN"/>
        <s v="NO SINGING METAL SIGN"/>
        <s v="WRAP PINK FAIRY CAKES "/>
        <s v="WATERING CAN SINGLE HOOK PISTACHIO"/>
        <s v="CARD HOLDER GINGHAM HEART"/>
        <s v="BLUE DRAGONFLY HELICOPTER"/>
        <s v="CHOCOLATE THIS WAY METAL SIGN"/>
        <s v="JUMBO BAG RED RETROSPOT"/>
        <s v="PACK OF 60 MUSHROOM CAKE CASES"/>
        <s v="DOOR MAT RED SPOT"/>
        <s v="CHRISTMAS CRAFT HEART DECORATIONS"/>
        <s v="GLOW IN DARK DOLPHINS"/>
        <s v="WORLD WAR 2 GLIDERS ASSTD DESIGNS"/>
        <s v="YOU'RE CONFUSING ME METAL SIGN "/>
        <s v="WRAP, FRIENDSHIP ON GREEN"/>
        <s v="TEA TIME CAKE STAND IN GIFT BOX"/>
        <s v="WOODEN STAR CHRISTMAS SCANDINAVIAN"/>
        <s v="CALENDAR IN SEASON DESIGN"/>
        <s v="BLACK/BLUE DOTS RUFFLED UMBRELLA"/>
        <s v="LARGE CAKE STAND HANGING HEARTS"/>
        <s v="HANGING WOOD AND FELT HEART"/>
        <s v="CHILDRENS APRON SPACEBOY DESIGN"/>
        <s v="BROCADE RING PURSE "/>
        <s v="COSY SLIPPER SHOES LARGE GREEN"/>
        <s v="VINTAGE UNION JACK DOORSTOP"/>
        <s v="KASHMIR FOLKART TUMBLERS"/>
        <s v="PACK OF 6 HANDBAG GIFT BOXES"/>
        <s v="LUNCH BAG PINK RETROSPOT"/>
        <s v="ABSTRACT CIRCLE JOURNAL "/>
        <s v="RED BABY BUNTING "/>
        <s v="  CHARLOTTE BAG PINK WITH WHITE SPOTS  "/>
        <s v="WOODLAND PARTY BAG + STICKER SET"/>
        <s v="BLUE TEA TOWEL CLASSIC DESIGN"/>
        <s v="METAL 4 HOOK HANGER FRENCH CHATEAU"/>
        <s v="SPACEBOY TV DINNER TRAY"/>
        <s v="STRAWBERRY   PICNIC BAG"/>
        <s v="SET OF 6 GIRLS CELEBRATION CANDLES"/>
        <s v="RETRO COFFEE MUGS ASSORTED"/>
        <s v="OLD DOC RUSSEL METAL SIGN"/>
        <s v="BLUE STONES ON WIRE FOR CANDLE"/>
        <s v="POTTING SHED CANDLE CITRONELLA"/>
        <s v="BATH DUCK WATERING CAN"/>
        <s v="JUMBO BAG DOLLY GIRL DESIGN"/>
        <s v="TRADITIONAL WOODEN SKIPPING ROPE"/>
        <s v="GINGHAM ROSE WRAP"/>
        <s v="DINOSAUR PARTY BAG + STICKER SET"/>
        <s v="SANDWICH BATH SPONGE"/>
        <s v="MINI JIGSAW DOLLY GIRL"/>
        <s v="WOODEN BOX ADVENT CALENDAR "/>
        <s v="RECIPE BOX RETRO SPOT DESIGN"/>
        <s v="SET OF 3 SILVER FLYING DUCKS"/>
        <s v="ROBIN CHRISTMAS CARD"/>
        <s v="DOORMAT I LOVE LONDON"/>
        <s v="SMALL GLASS HEART TRINKET POT"/>
        <s v="12 PENCIL SMALL TUBE WOODLAND"/>
        <s v="HOME BUILDING BLOCK WORD"/>
        <s v="KINGS CHOICE CIGAR BOX MATCHES "/>
        <s v="WOODEN BOX OF DOMINOES"/>
        <s v="RED  HARMONICA IN BOX "/>
        <s v="SINGLE HEART ZINC T-LIGHT HOLDER"/>
        <s v="KEY FOB , GARAGE DESIGN"/>
        <s v="HEART GARLAND RUSTIC PADDED"/>
        <s v="WICKER STAR "/>
        <s v="WHITE JEWELLED HEART DECORATION"/>
        <s v="  CHILDRENS GARDEN GLOVES BLUE  "/>
        <s v="MIDNIGHT GLAMOUR SCARF KNITTING KIT"/>
        <s v="FRYING PAN BLUE POLKADOT "/>
        <s v="LOVE BUILDING BLOCK WORD"/>
        <s v="COFFEE MUG PEARS  DESIGN"/>
        <s v="VINTAGE CREAM 3 BASKET CAKE STAND"/>
        <s v="CHRISTMAS RETROSPOT STAR WOOD"/>
        <s v="RETRO SPOT STORAGE JAR"/>
        <s v="SOAP DISH BROCANTE"/>
        <s v="CHRISTMAS CRAFT LITTLE FRIENDS"/>
        <s v="  JUMBO SHOPPER VINTAGE RED PAISLEY  "/>
        <s v="TEA TIME TABLE CLOTH"/>
        <s v="LARGE SILVER BALUSTRADE CANDLESTICK"/>
        <s v="WHITE BEADED GARLAND STRING 20LIGHT"/>
        <s v="CERAMIC BIRDHOUSE BLACK ROSE  LARGE"/>
        <s v="CHRISTMAS CRAFT HEART STOCKING "/>
        <s v="WOOD 2 DRAWER CABINET WHITE FINISH"/>
        <s v="FAIRY CAKES NOTEBOOK A7 SIZE"/>
        <s v="SET/2 BLUE  NOODLE BASKETS"/>
        <s v="PACK OF 6 SWEETIE GIFT BOXES"/>
        <s v="ALARM CLOCK BAKELIKE GREEN"/>
        <s v="MINI PAINT SET VINTAGE "/>
        <s v="T-LIGHT HOLDER HANGING LACE"/>
        <s v="KINGS CHOICE TEA CADDY "/>
        <s v="FELTCRAFT BUTTERFLY HEARTS"/>
        <s v="CHRISTMAS RETROSPOT HEART WOOD"/>
        <s v="NATURAL SLATE HEART CHALKBOARD "/>
        <s v="  RIBBON REEL SPOTS DESIGN  "/>
        <s v="3 STRIPEY MICE FELTCRAFT"/>
        <s v="EAU DE NILE HEART SHAPE PHOTO FRAME"/>
        <s v="BLUE 3 PIECE POLKADOT CUTLERY SET"/>
        <s v="GRAND CHOCOLATECANDLE"/>
        <s v="LARGE ROUND WICKER PLATTER "/>
        <s v="72 SWEETHEART FAIRY CAKE CASES"/>
        <s v="BLUE 3 PIECE MINI DOTS CUTLERY SET"/>
        <s v="LUNCHBOX WITH CUTLERY RETROSPOT "/>
        <s v="SWEET VALENCIA CANDLE+CUP"/>
        <s v="SET OF 3 RED STRIPE BASKETS"/>
        <s v="GLASS HEART T-LIGHT HOLDER "/>
        <s v="CHILDS GARDEN TROWEL BLUE "/>
        <s v="GROW YOUR OWN PLANT IN A CAN "/>
        <s v="CHILDS GARDEN FORK PINK"/>
        <s v="ASSORTED COLOUR T-LIGHT HOLDER"/>
        <s v="REX CASH+CARRY JUMBO SHOPPER"/>
        <s v="STRAWBERRY LUNCH BOX WITH CUTLERY"/>
        <s v="HEART SHAPED MIRROR"/>
        <s v="NEW BAROQUE SMALL NECKLACE BLACK"/>
        <s v="DOCTOR'S BAG SOFT TOY"/>
        <s v="BLACK PIRATE TREASURE CHEST"/>
        <s v="CHICK GREY HOT WATER BOTTLE"/>
        <s v="WHITE SKULL HOT WATER BOTTLE "/>
        <s v="RED KITCHEN SCALES"/>
        <s v="CINAMMON SET OF 9 T-LIGHTS"/>
        <s v="HAND WARMER BIRD DESIGN"/>
        <s v="HAND WARMER OWL DESIGN"/>
        <s v="  PLEASE ONE PERSON  METAL SIGN  "/>
        <s v="CHRISTMAS MUSICAL ZINC STAR"/>
        <s v="S/15 SILVER GLASS BAUBLES IN BAG"/>
        <s v="GREEN DRAWER KNOB ACRYLIC EDWARDIAN"/>
        <s v="JUMBO STORAGE BAG SUKI"/>
        <s v="GIN &amp; TONIC DIET GREETING CARD "/>
        <s v="SET/3 POLKA DOT STACKING TINS"/>
        <s v="DOOR MAT BLACK FLOCK "/>
        <s v="LA PALMIERA TILE COASTER"/>
        <s v="JUMBO BAG SCANDINAVIAN PAISLEY"/>
        <s v="ANGEL DECORATION 3 BUTTONS "/>
        <s v="RIBBON REEL CHRISTMAS SOCK BAUBLE"/>
        <s v="BLUE FLY SWAT"/>
        <s v="NATURAL BARK CANDLE LARGE"/>
        <s v="SWALLOWS GREETING CARD"/>
        <s v="PACK OF 6 SKULL PAPER PLATES"/>
        <s v="FELTCRAFT 6 FLOWER FRIENDS"/>
        <s v="PACK OF 60 SPACEBOY CAKE CASES"/>
        <s v="  ROUND SNACK BOXES SET OF 4 FRUITS  "/>
        <s v="SET 3 WICKER LOG BASKETS"/>
        <s v="RED RETROSPOT TEA CUP AND SAUCER "/>
        <s v="RED SPOTTY PEG BAG"/>
        <s v="  LIGHT BIRD HOUSE TREE DECORATION  "/>
        <s v="JUMBO BAG PINK VINTAGE PAISLEY"/>
        <s v="POLYESTER FILLER PAD 45x45cm"/>
        <s v="CERAMIC CHERRY CAKE MONEY BANK"/>
        <s v="MINI WOODEN HAPPY BIRTHDAY GARLAND"/>
        <s v="STRAWBERRY CERAMIC TRINKET BOX"/>
        <s v="WHITE LOVEBIRD LANTERN"/>
        <s v="COSY HOUR CIGAR BOX MATCHES "/>
        <s v="ABSTRACT CIRCLES SKETCHBOOK "/>
        <s v="VINTAGE BILLBOARD LOVE/HATE MUG"/>
        <s v="SET 5 MINI DOUGHNUT FRIDGE MAGNET "/>
        <s v="HAND WARMER SCOTTY DOG DESIGN"/>
        <s v="NECKLACE+BRACELET SET BLUE BLOSSOM"/>
        <s v="ASSORTED FLOWER COLOUR &quot;LEIS&quot;"/>
        <s v="MOROCCAN TEA GLASS"/>
        <s v="LARGE CAKE STAND  HANGING STRAWBERY"/>
        <s v="SKULL SHOULDER BAG"/>
        <s v="HAND WARMER RED RETROSPOT"/>
        <s v="HANGING METAL STAR LANTERN"/>
        <s v="WATERING CAN BLUE ELEPHANT"/>
        <s v="CINAMMON &amp; ORANGE WREATH"/>
        <s v="PARTY CONES CARNIVAL ASSORTED"/>
        <s v="FOLDING UMBRELLA BLACKBLUE POLKADOT"/>
        <s v="RED WOOLLY HOTTIE WHITE HEART."/>
        <s v="VANILLA SCENT CANDLE JEWELLED BOX"/>
        <s v="BLUE SPOTTY LUGGAGE TAG "/>
        <s v="CERAMIC BOWL WITH STRAWBERRY DESIGN"/>
        <s v="CARDHOLDER GINGHAM STAR"/>
        <s v="UNION JACK GUNS &amp; ROSES  DOORMAT"/>
        <s v="12 PINK ROSE PEG PLACE SETTINGS"/>
        <s v="ILLUSTRATED CAT BOWL "/>
        <s v="SET/6 STRAWBERRY PAPER CUPS"/>
        <s v="SWEETHEART CERAMIC TRINKET BOX"/>
        <s v="VINTAGE UNION JACK MEMOBOARD"/>
        <s v="PAINTED METAL TREE WITH HOLLY BELLS"/>
        <s v="PACK OF 72 RETROSPOT CAKE CASES"/>
        <s v="PLEASE ONE PERSON METAL SIGN"/>
        <s v="  REGENCY CAKESTAND 3 TIER  "/>
        <s v="CHRYSANTHEMUM  JOURNAL"/>
        <s v="GREEN MINI TAPE MEASURE "/>
        <s v="RED SPOTTY OVEN GLOVE "/>
        <s v="RETRO PLASTIC 70'S TRAY"/>
        <s v="BLACK HEART CARD HOLDER"/>
        <s v="RED WHITE SCARF  HOT WATER BOTTLE"/>
        <s v="BREAD BIN DINER STYLE IVORY"/>
        <s v="KITTENS DESIGN FLANNEL"/>
        <s v="STRAWBERRY CHARLOTTE BAG"/>
        <s v="NURSE'S BAG SOFT TOY"/>
        <s v="EMPIRE BIRTHDAY CARD"/>
        <s v="PINK CREAM FELT CRAFT TRINKET BOX "/>
        <s v="DINOSAUR LUNCH BOX WITH CUTLERY"/>
        <s v="SET/4 WHITE RETRO STORAGE CUBES "/>
        <s v="TEA BAG PLATE RED SPOTTY "/>
        <s v="SET OF 72 RETRO SPOT PAPER  DOILIES"/>
        <s v="PINK HEART SHAPE EGG FRYING PAN"/>
        <s v="POTTERING IN THE SHED METAL SIGN"/>
        <s v="TURQ ICE CREAM BUM BAG "/>
        <s v="VINTAGE UNION JACK BUNTING"/>
        <s v="PINK PADDED MOBILE"/>
        <s v="TEA PARTY  WRAPPING PAPER "/>
        <s v="CHARLIE+LOLA PINK HOT WATER BOTTLE"/>
        <s v="OFFICE MUG WARMER POLKADOT"/>
        <s v="WOODLAND DESIGN  COTTON TOTE BAG"/>
        <s v="SKULLS STORAGE BOX SMALL"/>
        <s v="ASSORTED TUTTI FRUTTI ROUND BOX"/>
        <s v="PAPER CHAIN KIT VINTAGE CHRISTMAS"/>
        <s v="PINK/YELLOW FLOWERS HANDBAG"/>
        <s v="SAVE THE PLANET COTTON TOTE BAG"/>
        <s v="PAPER BUNTING RETRO SPOTS"/>
        <s v="PINK &amp; WHITE BREAKFAST TRAY"/>
        <s v="OCEAN STRIPE HAMMOCK "/>
        <s v="FELTCRAFT PRINCESS LOLA DOLL"/>
        <s v="MAGNETS PACK OF 4 VINTAGE COLLAGE"/>
        <s v="ANTIQUE GLASS RIDGED HANGING BALL"/>
        <s v="ENAMEL FIRE BUCKET CREAM"/>
        <s v="LUNCH BOX WITH CUTLERY RETROSPOT "/>
        <s v="BLUE HARMONICA IN BOX "/>
        <s v="CHILDS GARDEN TROWEL PINK"/>
        <s v="VINTAGE PHOTO ALBUM PARIS DAYS"/>
        <s v="4 ROSE PINK DINNER CANDLES"/>
        <s v="BANQUET BIRTHDAY  CARD  "/>
        <s v="BATHROOM METAL SIGN "/>
        <s v="HAIRCLIPS FORTIES FABRIC ASSORTED"/>
        <s v="HEART T-LIGHT HOLDER "/>
        <s v="POTTING SHED COFFEE MUG"/>
        <s v="POTTING SHED TEA MUG"/>
        <s v="CUPBOARD 3 DRAWER MA CAMPAGNE"/>
        <s v="WRAP CIRCUS PARADE"/>
        <s v="FELTCRAFT HAIRBAND RED AND BLUE"/>
        <s v="FLOWERS  STICKERS"/>
        <s v="HANGING PHOTO CLIP ROPE LADDER"/>
        <s v="SWEETHEART RECIPE BOOK STAND"/>
        <s v="WRAP I LOVE LONDON "/>
        <s v="EASTER TIN BUCKET"/>
        <s v="RED SPOTTY ROUND CAKE TINS"/>
        <s v="SET/4 2 TONE EGG SHAPE MIXING BOWLS"/>
        <s v="ASSORTED COLOURS SILK FAN"/>
        <s v="HANGING HEART ZINC T-LIGHT HOLDER"/>
        <s v="HEART IVORY TRELLIS SMALL"/>
        <s v="RIBBONS PURSE "/>
        <s v="BLACK BAROQUE CUCKOO CLOCK"/>
        <s v="JUMBO BAG OWLS"/>
        <s v="CAKE STAND LACE WHITE"/>
        <s v="  WOODEN FRAME ANTIQUE WHITE  "/>
        <s v="CREAM SLICE FLANNEL CHOCOLATE SPOT "/>
        <s v="BABUSHKA LIGHTS STRING OF 10"/>
        <s v="RED SPOTTY SHOPPER BAG"/>
        <s v="JUMBO BAG STRAWBERRY"/>
        <s v="RIBBON REEL MAKING SNOWMEN "/>
        <s v="VICTORIAN SEWING KIT"/>
        <s v="DECORATION , WOBBLY RABBIT , METAL "/>
        <s v="  CAKE STAND 3 TIER MAGIC GARDEN  "/>
        <s v="MIRRORED DISCO BALL "/>
        <s v="WOODEN HEART CHRISTMAS SCANDINAVIAN"/>
        <s v="RED FLORAL FELTCRAFT SHOULDER BAG"/>
        <s v="SET OF 36 TEATIME PAPER DOILIES"/>
        <s v="FAIRY SOAP SOAP HOLDER"/>
        <s v="AIRLINE BAG VINTAGE TOKYO 78"/>
        <s v="ROSE COTTAGE KEEPSAKE BOX "/>
        <s v="PACK OF 60 PINK PAISLEY CAKE CASES"/>
        <s v="PURPLE ANEMONE ARTIFICIAL FLOWER"/>
        <s v="SET OF 72 BLACK PAPER DOILIES "/>
        <s v="EMPIRE UNION JACK TV DINNER TRAY"/>
        <s v="NEW ENGLAND MUG W GIFT BOX"/>
        <s v="KINGS CHOICE MUG"/>
        <s v="ROUND CONTAINER SET OF 5 RETROSPOT"/>
        <s v="KITCHEN METAL SIGN"/>
        <s v="SILK PURSE BABUSHKA RED"/>
        <s v="POLKADOT CUTLERY 24 PCS IN TRAY"/>
        <s v="MINI JIGSAW BUNNIES"/>
        <s v="SET 10 LIGHTS NIGHT OWL"/>
        <s v="DECORATIVE CATS BATHROOM BOTTLE"/>
        <s v="DOOR MAT TOPIARY"/>
        <s v="BLUE SPOT CERAMIC DRAWER KNOB"/>
        <s v="RED SPOTTY OVEN GLOVE DOUBLE"/>
        <s v="HAND TOWEL PINK FLOWER AND DAISY"/>
        <s v="SALLE DE BAIN HOOK"/>
        <s v="ROUND SNACK BOXES SET OF 4 SKULLS"/>
        <s v="HOUSE WRECKING METAL SIGN "/>
        <s v="IVORY PILLAR CANDLE GOLD FLOCK"/>
        <s v="DOORMAT WELCOME TO OUR HOME"/>
        <s v="AIRLINE BAG VINTAGE JET SET BROWN"/>
        <s v="GINGHAM HEART DECORATION"/>
        <s v="PINK JUICY FRUIT PHOTO FRAME"/>
        <s v="CUSHION COVER PINK UNION FLAG"/>
        <s v="CERAMIC STRAWBERRY CAKE MONEY BANK"/>
        <s v="BEADED PEARL HEART WHITE LARGE"/>
        <s v="BLUE OWL SOFT TOY"/>
        <s v="DOOR HANGER  MUM + DADS ROOM"/>
        <s v="DOORMAT RESPECTABLE HOUSE"/>
        <s v="FLAMINGO LIGHTS"/>
        <s v="LUNCH BAG CARS BLUE"/>
        <s v="  FELTCRAFT BUTTERFLY HEARTS  "/>
        <s v="ANTIQUE LILY FAIRY LIGHTS"/>
        <s v="LAUNDRY 15C METAL SIGN"/>
        <s v="HEART OF WICKER SMALL"/>
        <s v="RETROSPOT RED WASHING UP GLOVES"/>
        <s v="60 TEATIME FAIRY CAKE CASES"/>
        <s v="PINK METAL CHICKEN HEART "/>
        <s v="GAOLERS KEYS DECORATIVE GARDEN "/>
        <s v="GINGERBREAD MAN COOKIE CUTTER"/>
        <s v="RETRO SPOT PADDED SEAT CUSHION"/>
        <s v="CREAM SLICE FLANNEL PINK SPOT "/>
        <s v="BLUE POLKADOT PUDDING BOWL"/>
        <s v="HOT BATHS METAL SIGN"/>
        <s v="LUNCH BAG SUKI  DESIGN "/>
        <s v="VINTAGE BILLBOARD DRINK ME MUG"/>
        <s v="KEEP OUT GIRLS DOOR HANGER "/>
        <s v="ENAMEL COLANDER CREAM"/>
        <s v="RIBBON REEL FLORA + FAUNA "/>
        <s v="COLUMBIAN CANDLE RECTANGLE"/>
        <s v="RED RETROSPOT JUMBO BAG "/>
        <s v="PACK 20 ENGLISH ROSE PAPER NAPKINS"/>
        <s v="CREAM SWEETHEART MAGAZINE RACK"/>
        <s v="WHITE CHRISTMAS GARLAND STARS TREES"/>
        <s v="LUNCH BAG RED SPOTTY"/>
        <s v="VINTAGE HEADS AND TAILS CARD GAME "/>
        <s v="75 GREEN PETIT FOUR CASES"/>
        <s v="RED SPOTTY CUP"/>
        <s v="PINK BLUE FELT CRAFT TRINKET BOX"/>
        <s v="DAISY GARDEN MARKER"/>
        <s v="  MULTICOLOUR SPRING FLOWER MUG  "/>
        <s v="EDWARDIAN PARASOL RED"/>
        <s v="AREA PATROLLED METAL SIGN"/>
        <s v="GREEN REGENCY TEACUP AND SAUCER"/>
        <s v="CACTI T-LIGHT CANDLES"/>
        <s v="CHOCOLATE BOX RIBBONS "/>
        <s v="  12 RED ROSE PEG PLACE SETTINGS  "/>
        <s v="RETRO MOD TRAY"/>
        <s v="S/12 MINI RABBIT EASTER"/>
        <s v="SILVER VANILLA FLOWER CANDLE POT"/>
        <s v="SET/3 ROSE CANDLE IN JEWELLED BOX"/>
        <s v="SET OF 6 SOLDIER SKITTLES"/>
        <s v="SOLDIERS EGG CUP "/>
        <s v="BOX OF 24 COCKTAIL PARASOLS"/>
        <s v="FAIRY CAKE DESIGN UMBRELLA"/>
        <s v="BIG DOUGHNUT FRIDGE MAGNETS"/>
        <s v="FLYING PIG WATERING CAN"/>
        <s v="PINK PAPER PARASOL "/>
        <s v="TOILET METAL SIGN"/>
        <s v="COUNTRY COTTAGE  DOORSTOP GREEN"/>
        <s v="QUEEN OF SKIES LUGGAGE TAG"/>
        <s v="PINK HEART DOTS HOT WATER BOTTLE"/>
        <s v="BLACKCHRISTMAS TREE 30CM"/>
        <s v="PACK OF 20 SKULL PAPER NAPKINS"/>
        <s v="MAGNETS PACK OF 4 VINTAGE LABELS "/>
        <s v="BLUE STRIPE CERAMIC DRAWER KNOB"/>
        <s v="RED RETROSPOT CAKE STAND"/>
        <s v="PACK OF 12 SUKI TISSUES "/>
        <s v="WOOD FAN WITH FLOWER DESIGN"/>
        <s v="GARDENIA 3 WICK MORRIS BOXED CANDLE"/>
        <s v="F.FAIRY S/3 CANDLE/GLASS"/>
        <s v="SET/3 RUSSIAN DOLL STACKING TINS"/>
        <s v="CHILDS BREAKFAST SET CIRCUS PARADE"/>
        <s v="PACK 20 DOLLY PEGS"/>
        <s v="HOMEMADE JAM SCENTED CANDLES"/>
        <s v="3 HOOK PHOTO SHELF ANTIQUE WHITE"/>
        <s v="OPEN CLOSED METAL SIGN"/>
        <s v="PINK 3 PIECE MINI DOTS CUTLERY SET"/>
        <s v="PAPER CHAIN KIT 50'S CHRISTMAS "/>
        <s v="CHARLOTTE BAG , PINK/WHITE SPOTS"/>
        <s v="NATURAL BARK CANDLE SMALL"/>
        <s v="RECIPE BOX PANTRY YELLOW DESIGN"/>
        <s v="RED RETROSPOT SHOPPING BAG"/>
        <s v="FLOWER GLASS GARLAND NECKL.36&quot;BLACK"/>
        <s v="BOUDOIR SQUARE TISSUE BOX"/>
        <s v="3 HOOK HANGER MAGIC GARDEN"/>
        <s v="GUMBALL COATHOOK., BLACK &amp; WHITE "/>
        <s v="3 HEARTS HANGING DECORATION RUSTIC"/>
        <s v="SET/6 COLLAGE PAPER CUPS"/>
        <s v="CHARLOTTE BAG SUKI DESIGN"/>
        <s v="JARDIN ETCHED GLASS FRUITBOWL"/>
        <s v="ENAMEL WATERING CAN CREAM"/>
        <s v="SET OF 6 T-LIGHTS WEDDING CAKE "/>
        <s v="FAIRY CAKE NOTEBOOK A5 SIZE"/>
        <s v="POTTING SHED SEED ENVELOPES"/>
        <s v="MINI JIGSAW BAKE A CAKE "/>
        <s v="POTTING SHED SEED TIN"/>
        <s v="ACRYLIC GEOMETRIC LAMP"/>
        <s v="FRENCH BLUE METAL DOOR SIGN 2"/>
        <s v="CHARLIE AND LOLA TABLE TINS"/>
        <s v="MAGIC DRAWING SLATE SPACEBOY "/>
        <s v="RED PAPER PARASOL"/>
        <s v="MILK BOTTLE WITH GLASS STOPPER "/>
        <s v="POTTING SHED TWINE"/>
        <s v="STRAWBERRY FAIRY CAKE TEAPOT"/>
        <s v="POSTAGE"/>
        <s v="BLUE PAISLEY SKETCHBOOK"/>
        <s v="TRIPLE PHOTO FRAME CORNICE "/>
        <s v="BLUE PARTY BAGS "/>
        <s v="ROSE CARAVAN DOORSTOP"/>
        <s v="WOOD S/3 CABINET ANT WHITE FINISH"/>
        <s v="  SET OF 12 ROSE BOTANICAL T-LIGHTS  "/>
        <s v="  GINGHAM BABUSHKA DOORSTOP  "/>
        <s v="5 STRAND GLASS NECKLACE CRYSTAL"/>
        <s v="RETRO SPOT TRADITIONAL TEAPOT "/>
        <s v="RED RETROSPOT CHARLOTTE BAG"/>
        <s v="PINK PAISLEY CUSHION COVER "/>
        <s v="PINK  SPOTTY CUP"/>
        <s v="SMALL POPCORN HOLDER"/>
        <s v="12 PENCILS SMALL TUBE RED SPOTTY"/>
        <s v="SWEETHEART CAKESTAND 3 TIER"/>
        <s v="PAIR PINK/BLACK COATHANGERS"/>
        <s v="JUMBO BAG PINK WITH WHITE SPOTS"/>
        <s v="MOODY GIRL DOOR HANGER "/>
        <s v="PLASTERS IN TIN WOODLAND ANIMALS"/>
        <s v="SNOWFLAKE PORTABLE TABLE LIGHT "/>
        <s v="SKULLS PARTY BAG + STICKER SET"/>
        <s v="  GLASS CLOCHE LARGE  "/>
        <s v="15CM CHRISTMAS GLASS BALL 20 LIGHTS"/>
        <s v="WOODEN PICTURE FRAME WHITE FINISH"/>
        <s v="PINK HAPPY BIRTHDAY BUNTING"/>
        <s v="FULL ENGLISH BREAKFAST PLATE"/>
        <s v="PENS ASSORTED FUNKY JEWELED "/>
        <s v="RED ROSE AND LACE C/COVER"/>
        <s v="WHITE WIRE EGG HOLDER"/>
        <s v="CHILDS GARDEN RAKE BLUE"/>
        <s v="WELCOME METAL SIGN"/>
        <s v="EIGHT PIECE CREEPY CRAWLIE SET"/>
        <s v="BLACK LOVE BIRD T-LIGHT HOLDER"/>
        <s v="CLASSICAL ROSE SMALL VASE"/>
        <s v="MEMO BOARD RETROSPOT  DESIGN"/>
        <s v="SMALL RED SPOT  WINDMILL"/>
        <s v="RED RETROSPOT BOWL"/>
        <s v="RECIPE BOX RETROSPOT "/>
        <s v="MINATURE COLOURED GARDENING SET"/>
        <s v="CARDHOLDER GINGHAM CHRISTMAS TREE"/>
        <s v="NOEL WOODEN BLOCK LETTERS "/>
        <s v="RED RETROSPOT PICNIC BAG"/>
        <s v="FAIRY CAKES TILE COASTER"/>
        <s v="CHRISTMAS LIGHTS 10 VINTAGE BAUBLES"/>
        <s v="PURPLE GEMSTONE BRACELET"/>
        <s v="WOODEN SKITTLES GARDEN SET"/>
        <s v="DOORMAT NEW ENGLAND"/>
        <s v="CHRISTMAS METAL TAGS ASSORTED "/>
        <s v="PLASTERS IN TIN VINTAGE PAISLEY "/>
        <s v="RECYCLED PENCIL WITH RABBIT ERASER"/>
        <s v="FOLKART HEART NAPKIN RINGS"/>
        <s v="RED GINGHAM ROSE JEWELLERY BOX"/>
        <s v="LARGE CAKE TOWEL, CHOCOLATE SPOTS"/>
        <s v="KIDS RAIN MAC BLUE"/>
        <s v="PAINT YOUR OWN CANVAS SET"/>
        <s v="PLASTERS IN TIN SPACEBOY"/>
        <s v="RETRO SPOT CANDLE  SMALL"/>
        <s v="ROUND SNACK BOXES SET OF4 WOODLAND "/>
        <s v="MILK PAN PINK RETROSPOT"/>
        <s v="RED RETROSPOT TRADITIONAL TEAPOT "/>
        <s v="FILIGRIS HEART WITH BUTTERFLY"/>
        <s v="LARGE POPCORN HOLDER "/>
        <s v="COW  SOCK PUPPET"/>
        <s v="PACK OF 12 COLOURED PENCILS"/>
        <s v="OFFICE MUG WARMER BLACK+SILVER "/>
        <s v="DOOR MAT FAIRY CAKE"/>
        <s v="FELT EGG COSY WHITE RABBIT "/>
        <s v="EAU DE NILE JEWELLED PHOTOFRAME"/>
        <s v="SCANDINAVIAN PAISLEY PICNIC BAG"/>
        <s v="CARRIAGE"/>
        <s v="SPRING DEC , HANGING CHICK  GREEN"/>
        <s v="CHERRY CROCHET FOOD COVER"/>
        <s v="RED HANGING HEART T-LIGHT HOLDER"/>
        <s v="DOORMAT RED SPOT"/>
        <s v="CARD MOTORBIKE SANTA"/>
        <s v="  VINTAGE BLUE TINSEL REEL  "/>
        <s v="FELTCRAFT DOLL ROSIE"/>
        <s v="PINK PICNIC BARBECUE BUCKET"/>
        <s v="JUMBO BAG RED WHITE SPOTTY "/>
        <s v="COSY HOUR GIANT TUBE MATCHES"/>
        <s v="SKULLS  WATER TRANSFER TATTOOS "/>
        <s v="CLOTHES PEGS RETROSPOT PACK 24 "/>
        <s v="SET OF 2 TEA TOWELS PING MICROWAVE"/>
        <s v="TURQ+RED BOUDICCA LARGE BRACELET"/>
        <s v="BOYS VINTAGE TIN SEASIDE BUCKET"/>
        <s v="SMALL RETRO SPOT MUG IN BOX  WHITE"/>
        <s v="VICTORIAN SEWING BOX SMALL "/>
        <s v="LUNCH BAG SPACEBOY DESIGN "/>
        <s v="RETROSPOT HEART HOT WATER BOTTLE"/>
        <s v="BUTTERFLIES  HONEYCOMB GARLAND"/>
        <s v="LARGE HEART MEASURING SPOONS"/>
        <s v="GLASS JAR MARMALADE "/>
        <s v="SET OF THREE VINTAGE GIFT WRAPS"/>
        <s v="  HOT BATHS METAL SIGN  "/>
        <s v="36 PENCILS TUBE SKULLS"/>
        <s v="75 BLACK PETIT FOUR CASES"/>
        <s v="RIBBON REEL LACE DESIGN "/>
        <s v="HOME SMALL WOOD LETTERS"/>
        <s v="HAND OVER THE CHOCOLATE   SIGN "/>
        <s v="COLOUR GLASS T-LIGHT HOLDER HANGING"/>
        <s v="SMALL RED RETROSPOT WINDMILL"/>
        <s v="PAPER BUNTING VINTAGE PAISLEY"/>
        <s v="TEA TIME PARTY BUNTING"/>
        <s v="FELTCRAFT HAIRBANDS PINK AND WHITE "/>
        <s v="FAWN BLUE HOT WATER BOTTLE"/>
        <s v="VICTORIAN METAL POSTCARD CHRISTMAS"/>
        <s v="COOK WITH WINE METAL SIGN "/>
        <s v="DOOR MAT HEARTS"/>
        <s v="60 GOLD AND SILVER FAIRY CAKE CASES"/>
        <s v="HOT WATER BOTTLE TEA AND SYMPATHY"/>
        <s v="MINT KITCHEN SCALES"/>
        <s v="CHOCOLATE CALCULATOR"/>
        <s v="POCKET MIRROR &quot;GLAMOROUS&quot;"/>
        <s v="GIFT BAG PSYCHEDELIC APPLES"/>
        <s v="RED SPOTTY CANDY BAG"/>
        <s v="BLUE/CREAM STRIPE CUSHION COVER "/>
        <s v="PAPERWEIGHT SAVE THE PLANET"/>
        <s v="SWEETHEART CREAM STEEL FOLDIN BENCH"/>
        <s v="BISCUIT TIN VINTAGE RED"/>
        <s v="  72 SWEETHEART FAIRY CAKE CASES  "/>
        <s v="POPPY'S PLAYHOUSE KITCHEN"/>
        <s v="PIN CUSHION RUSSIAN DOLL BLUE"/>
        <s v="PAPER BUNTING WHITE LACE"/>
        <s v="LARGE WHITE HONEYCOMB PAPER BELL  "/>
        <s v="PARTY CONES CANDY ASSORTED"/>
        <s v="COFFEE SCENT PILLAR CANDLE"/>
        <s v="  RED KITCHEN SCALES  "/>
        <s v="RED/CREAM STRIPE CUSHION COVER "/>
        <s v="RED RETROSPOT STORAGE JAR"/>
        <s v="DAISIES  HONEYCOMB GARLAND "/>
        <s v="24 HANGING EASTER EGGS FLORAL TUB"/>
        <s v="PHARMACIE FIRST AID TIN"/>
        <s v="ASSTD DESIGN BUBBLE GUM RING"/>
        <s v="WOOD STAMP SET BEST WISHES"/>
        <s v="HANGING BAUBLE T-LIGHT HOLDER SMALL"/>
        <s v="SMALL HEART FLOWERS HOOK "/>
        <s v="  SET/10 PINK SPOTTY PARTY CANDLES  "/>
        <s v="BLUE PULL BACK RACING CAR"/>
        <s v="MAGIC DRAWING SLATE DOLLY GIRL "/>
        <s v="GREEN 3 PIECE POLKADOT CUTLERY SET"/>
        <s v="5 HOOK BLACKBOARD ORGANISER "/>
        <s v="SMALL HAMMERED SILVER CANDLEPOT "/>
        <s v="ASSTD DESIGN RACING CAR PEN"/>
      </sharedItems>
    </cacheField>
    <cacheField name="Quantity" numFmtId="166">
      <sharedItems containsMixedTypes="1" containsNumber="1" containsInteger="1" minValue="-72" maxValue="3312" count="60">
        <n v="6"/>
        <n v="1"/>
        <n v="2"/>
        <n v="12"/>
        <n v="24"/>
        <n v="3"/>
        <n v="36"/>
        <n v="4"/>
        <n v="8"/>
        <s v="10"/>
        <n v="25"/>
        <n v="10"/>
        <n v="14"/>
        <n v="-1"/>
        <n v="20"/>
        <n v="5"/>
        <n v="3312"/>
        <n v="288"/>
        <s v="12"/>
        <n v="96"/>
        <n v="18"/>
        <n v="34"/>
        <n v="7"/>
        <n v="48"/>
        <n v="84"/>
        <n v="200"/>
        <n v="-10"/>
        <n v="16"/>
        <n v="144"/>
        <n v="240"/>
        <n v="-4"/>
        <s v="192"/>
        <n v="15"/>
        <s v="720"/>
        <n v="50"/>
        <n v="-3"/>
        <s v="1"/>
        <s v="24"/>
        <s v="6"/>
        <n v="100"/>
        <n v="9"/>
        <n v="-12"/>
        <n v="32"/>
        <n v="60"/>
        <n v="120"/>
        <n v="72"/>
        <s v="5"/>
        <n v="-50"/>
        <n v="2496"/>
        <s v="2"/>
        <n v="11"/>
        <n v="52"/>
        <n v="40"/>
        <n v="30"/>
        <n v="-48"/>
        <n v="26"/>
        <n v="-2"/>
        <n v="13"/>
        <n v="-72"/>
        <n v="384"/>
      </sharedItems>
    </cacheField>
    <cacheField name="InvoiceDate" numFmtId="169">
      <sharedItems containsDate="1" containsMixedTypes="1" minDate="2009-12-01T09:28:00" maxDate="2010-12-09T13:47:00"/>
    </cacheField>
    <cacheField name="Price" numFmtId="168">
      <sharedItems containsMixedTypes="1" containsNumber="1" minValue="0.08" maxValue="50" count="77">
        <n v="2.95"/>
        <n v="1.65"/>
        <n v="7.95"/>
        <n v="1.25"/>
        <n v="2.5499999999999998"/>
        <n v="1.95"/>
        <n v="5.95"/>
        <n v="6.45"/>
        <n v="1.85"/>
        <n v="2.1"/>
        <n v="7.49"/>
        <n v="0.85"/>
        <n v="5.45"/>
        <n v="2.12"/>
        <n v="12.75"/>
        <n v="4.6500000000000004"/>
        <n v="3.75"/>
        <n v="0.42"/>
        <n v="0.65"/>
        <s v="1.95"/>
        <n v="8.5"/>
        <n v="3.25"/>
        <s v="4.95"/>
        <s v="0.42"/>
        <n v="4.95"/>
        <n v="4.25"/>
        <s v="0.85"/>
        <n v="0.3"/>
        <n v="1.06"/>
        <n v="0.55000000000000004"/>
        <s v="4.25"/>
        <n v="6.75"/>
        <n v="0.28999999999999998"/>
        <n v="1.69"/>
        <s v="3.75"/>
        <n v="3.39"/>
        <n v="16.95"/>
        <n v="16.88"/>
        <s v="2.10"/>
        <n v="3.95"/>
        <s v="1.65"/>
        <n v="1.49"/>
        <n v="1.45"/>
        <n v="49.95"/>
        <n v="0.38"/>
        <n v="9.9499999999999993"/>
        <n v="10.95"/>
        <s v="2.55"/>
        <n v="0.21"/>
        <n v="10.75"/>
        <n v="0.16"/>
        <n v="0.08"/>
        <n v="8.9499999999999993"/>
        <n v="6.35"/>
        <n v="0.95"/>
        <n v="5.55"/>
        <n v="10.65"/>
        <n v="3.45"/>
        <n v="19.95"/>
        <n v="1.55"/>
        <s v="1.25"/>
        <n v="0.36"/>
        <s v="34.95"/>
        <n v="2.25"/>
        <n v="6.95"/>
        <n v="14.95"/>
        <n v="0.75"/>
        <s v="3.95"/>
        <n v="3.35"/>
        <n v="0.13"/>
        <s v="0.55"/>
        <n v="7.65"/>
        <n v="18.95"/>
        <n v="18"/>
        <s v="6.35"/>
        <n v="2.75"/>
        <n v="50"/>
      </sharedItems>
    </cacheField>
    <cacheField name="Customer ID" numFmtId="167">
      <sharedItems containsMixedTypes="1" containsNumber="1" containsInteger="1" minValue="12356" maxValue="18279"/>
    </cacheField>
    <cacheField name="Country" numFmtId="0">
      <sharedItems count="23">
        <s v="Eire"/>
        <s v="United Kingdom"/>
        <s v="Germany"/>
        <s v="France"/>
        <s v="U.K."/>
        <s v="Belgium"/>
        <s v="Italy"/>
        <s v="Rsa"/>
        <s v="Denmark"/>
        <s v="Netherlands"/>
        <s v="Cyprus"/>
        <s v="Usa"/>
        <s v="Channel Islands"/>
        <s v="Portugal"/>
        <s v="Japan"/>
        <s v="Austria"/>
        <s v="Greece"/>
        <s v="Switzerland"/>
        <s v="Uk"/>
        <s v="Sweden"/>
        <s v="Spain"/>
        <s v="Un Ited Kingdom"/>
        <s v="Finland"/>
      </sharedItems>
    </cacheField>
    <cacheField name="Revenue" numFmtId="0">
      <sharedItems containsSemiMixedTypes="0" containsString="0" containsNumber="1" minValue="-151.20000000000002" maxValue="993.5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3">
  <r>
    <n v="528386"/>
    <n v="22318"/>
    <x v="0"/>
    <x v="0"/>
    <d v="2010-10-21T18:32:00"/>
    <x v="0"/>
    <n v="14911"/>
    <x v="0"/>
    <n v="17.700000000000003"/>
  </r>
  <r>
    <n v="498594"/>
    <n v="21173"/>
    <x v="1"/>
    <x v="1"/>
    <d v="2010-02-21T15:48:00"/>
    <x v="1"/>
    <n v="16797"/>
    <x v="1"/>
    <n v="1.65"/>
  </r>
  <r>
    <n v="503245"/>
    <s v=" 21777 "/>
    <x v="2"/>
    <x v="2"/>
    <d v="2010-03-31T09:52:00"/>
    <x v="2"/>
    <n v="15216"/>
    <x v="1"/>
    <n v="15.9"/>
  </r>
  <r>
    <n v="505756"/>
    <n v="84836"/>
    <x v="3"/>
    <x v="3"/>
    <d v="2010-04-26T09:48:00"/>
    <x v="3"/>
    <n v="14677"/>
    <x v="1"/>
    <n v="15"/>
  </r>
  <r>
    <n v="496975"/>
    <n v="21559"/>
    <x v="4"/>
    <x v="0"/>
    <d v="2010-02-05T09:14:00"/>
    <x v="4"/>
    <n v="12712"/>
    <x v="2"/>
    <n v="15.299999999999999"/>
  </r>
  <r>
    <n v="491584"/>
    <n v="85107"/>
    <x v="5"/>
    <x v="3"/>
    <d v="2009-12-11T12:55:00"/>
    <x v="4"/>
    <n v="12854"/>
    <x v="1"/>
    <n v="30.599999999999998"/>
  </r>
  <r>
    <n v="516478"/>
    <n v="22575"/>
    <x v="6"/>
    <x v="1"/>
    <d v="2010-07-20T17:20:00"/>
    <x v="5"/>
    <n v="17576"/>
    <x v="1"/>
    <n v="1.95"/>
  </r>
  <r>
    <n v="502588"/>
    <n v="22083"/>
    <x v="7"/>
    <x v="2"/>
    <d v="2010-03-25T12:43:00"/>
    <x v="0"/>
    <n v="16550"/>
    <x v="1"/>
    <n v="5.9"/>
  </r>
  <r>
    <n v="515335"/>
    <s v="85014B"/>
    <x v="8"/>
    <x v="1"/>
    <d v="2010-07-11T14:19:00"/>
    <x v="6"/>
    <n v="14606"/>
    <x v="1"/>
    <n v="5.95"/>
  </r>
  <r>
    <n v="525065"/>
    <n v="21156"/>
    <x v="9"/>
    <x v="1"/>
    <d v="2010-10-03T14:28:00"/>
    <x v="5"/>
    <n v="16799"/>
    <x v="1"/>
    <n v="1.95"/>
  </r>
  <r>
    <n v="535349"/>
    <n v="84946"/>
    <x v="10"/>
    <x v="4"/>
    <d v="2010-11-25T16:52:00"/>
    <x v="3"/>
    <n v="18245"/>
    <x v="1"/>
    <n v="30"/>
  </r>
  <r>
    <n v="521949"/>
    <n v="82484"/>
    <x v="11"/>
    <x v="5"/>
    <d v="2010-09-09T17:16:00"/>
    <x v="7"/>
    <n v="15150"/>
    <x v="1"/>
    <n v="19.350000000000001"/>
  </r>
  <r>
    <n v="514876"/>
    <n v="22519"/>
    <x v="12"/>
    <x v="6"/>
    <d v="2010-07-07T10:33:00"/>
    <x v="8"/>
    <n v="17511"/>
    <x v="1"/>
    <n v="66.600000000000009"/>
  </r>
  <r>
    <n v="521162"/>
    <n v="22561"/>
    <x v="13"/>
    <x v="3"/>
    <d v="2010-09-02T14:22:00"/>
    <x v="1"/>
    <n v="12598"/>
    <x v="3"/>
    <n v="19.799999999999997"/>
  </r>
  <r>
    <n v="506572"/>
    <n v="20798"/>
    <x v="14"/>
    <x v="7"/>
    <d v="2010-04-30T13:10:00"/>
    <x v="9"/>
    <n v="16374"/>
    <x v="1"/>
    <n v="8.4"/>
  </r>
  <r>
    <n v="505974"/>
    <n v="48188"/>
    <x v="15"/>
    <x v="1"/>
    <d v="2010-04-26T18:06:00"/>
    <x v="10"/>
    <n v="17449"/>
    <x v="1"/>
    <n v="7.49"/>
  </r>
  <r>
    <n v="491622"/>
    <n v="10125"/>
    <x v="16"/>
    <x v="1"/>
    <d v="2009-12-11T14:20:00"/>
    <x v="11"/>
    <n v="13415"/>
    <x v="4"/>
    <n v="0.85"/>
  </r>
  <r>
    <n v="509982"/>
    <n v="21696"/>
    <x v="17"/>
    <x v="0"/>
    <d v="2010-05-26T14:28:00"/>
    <x v="0"/>
    <n v="12924"/>
    <x v="1"/>
    <n v="17.700000000000003"/>
  </r>
  <r>
    <n v="524611"/>
    <s v="85114B"/>
    <x v="18"/>
    <x v="0"/>
    <d v="2010-09-30T09:37:00"/>
    <x v="1"/>
    <n v="13078"/>
    <x v="1"/>
    <n v="9.8999999999999986"/>
  </r>
  <r>
    <n v="501906"/>
    <n v="22413"/>
    <x v="19"/>
    <x v="3"/>
    <d v="2010-03-21T16:02:00"/>
    <x v="0"/>
    <n v="17340"/>
    <x v="1"/>
    <n v="35.400000000000006"/>
  </r>
  <r>
    <n v="505708"/>
    <n v="20979"/>
    <x v="20"/>
    <x v="1"/>
    <d v="2010-04-25T12:15:00"/>
    <x v="3"/>
    <n v="13782"/>
    <x v="1"/>
    <n v="1.25"/>
  </r>
  <r>
    <n v="497935"/>
    <s v="79323W"/>
    <x v="21"/>
    <x v="4"/>
    <d v="2010-02-15T10:47:00"/>
    <x v="12"/>
    <n v="13408"/>
    <x v="1"/>
    <n v="130.80000000000001"/>
  </r>
  <r>
    <n v="502792"/>
    <s v="15044C"/>
    <x v="22"/>
    <x v="0"/>
    <d v="2010-03-26T15:08:00"/>
    <x v="0"/>
    <n v="14253"/>
    <x v="1"/>
    <n v="17.700000000000003"/>
  </r>
  <r>
    <s v=" 522904 "/>
    <s v="72529W"/>
    <x v="23"/>
    <x v="1"/>
    <d v="2010-09-17T12:45:00"/>
    <x v="13"/>
    <n v="17765"/>
    <x v="1"/>
    <n v="2.12"/>
  </r>
  <r>
    <n v="537810"/>
    <n v="22415"/>
    <x v="24"/>
    <x v="5"/>
    <d v="2010-08-12T13:30:00"/>
    <x v="2"/>
    <n v="15032"/>
    <x v="1"/>
    <n v="23.85"/>
  </r>
  <r>
    <n v="520505"/>
    <n v="21258"/>
    <x v="25"/>
    <x v="1"/>
    <d v="2010-08-26T12:51:00"/>
    <x v="14"/>
    <n v="17663"/>
    <x v="1"/>
    <n v="12.75"/>
  </r>
  <r>
    <s v=" 533067 "/>
    <n v="21122"/>
    <x v="26"/>
    <x v="4"/>
    <d v="2010-11-15T17:14:00"/>
    <x v="3"/>
    <n v="17284"/>
    <x v="1"/>
    <n v="30"/>
  </r>
  <r>
    <n v="523971"/>
    <n v="21009"/>
    <x v="27"/>
    <x v="0"/>
    <d v="2010-09-26T13:53:00"/>
    <x v="3"/>
    <n v="15967"/>
    <x v="1"/>
    <n v="7.5"/>
  </r>
  <r>
    <n v="499625"/>
    <s v="15056BL"/>
    <x v="28"/>
    <x v="2"/>
    <d v="2010-03-01T13:14:00"/>
    <x v="6"/>
    <n v="17965"/>
    <x v="1"/>
    <n v="11.9"/>
  </r>
  <r>
    <n v="500147"/>
    <n v="47566"/>
    <x v="29"/>
    <x v="8"/>
    <d v="2010-03-04T17:22:00"/>
    <x v="15"/>
    <n v="15812"/>
    <x v="1"/>
    <n v="37.200000000000003"/>
  </r>
  <r>
    <n v="537421"/>
    <n v="22569"/>
    <x v="30"/>
    <x v="2"/>
    <d v="2010-12-06T15:25:00"/>
    <x v="16"/>
    <n v="17218"/>
    <x v="1"/>
    <n v="7.5"/>
  </r>
  <r>
    <n v="534526"/>
    <n v="21930"/>
    <x v="31"/>
    <x v="9"/>
    <d v="2010-11-23T12:04:00"/>
    <x v="5"/>
    <n v="15384"/>
    <x v="1"/>
    <n v="19.5"/>
  </r>
  <r>
    <n v="503164"/>
    <n v="22556"/>
    <x v="32"/>
    <x v="1"/>
    <d v="2010-03-30T13:15:00"/>
    <x v="1"/>
    <n v="17464"/>
    <x v="1"/>
    <n v="1.65"/>
  </r>
  <r>
    <n v="528618"/>
    <n v="21499"/>
    <x v="33"/>
    <x v="10"/>
    <d v="2010-10-22T17:07:00"/>
    <x v="17"/>
    <n v="13263"/>
    <x v="1"/>
    <n v="10.5"/>
  </r>
  <r>
    <n v="505015"/>
    <n v="22196"/>
    <x v="34"/>
    <x v="3"/>
    <d v="2010-04-19T13:30:00"/>
    <x v="11"/>
    <n v="14156"/>
    <x v="0"/>
    <n v="10.199999999999999"/>
  </r>
  <r>
    <n v="497272"/>
    <s v="84510B"/>
    <x v="35"/>
    <x v="11"/>
    <d v="2010-02-08T13:50:00"/>
    <x v="3"/>
    <n v="17160"/>
    <x v="1"/>
    <n v="12.5"/>
  </r>
  <r>
    <n v="518480"/>
    <n v="21890"/>
    <x v="36"/>
    <x v="2"/>
    <d v="2010-08-09T12:21:00"/>
    <x v="0"/>
    <n v="16470"/>
    <x v="1"/>
    <n v="5.9"/>
  </r>
  <r>
    <n v="508593"/>
    <n v="21900"/>
    <x v="37"/>
    <x v="4"/>
    <d v="2010-05-17T12:06:00"/>
    <x v="18"/>
    <n v="13488"/>
    <x v="1"/>
    <n v="15.600000000000001"/>
  </r>
  <r>
    <n v="505615"/>
    <n v="20712"/>
    <x v="38"/>
    <x v="11"/>
    <d v="2010-04-23T12:49:00"/>
    <x v="19"/>
    <n v="15288"/>
    <x v="1"/>
    <n v="19.5"/>
  </r>
  <r>
    <n v="530538"/>
    <n v="21563"/>
    <x v="39"/>
    <x v="2"/>
    <d v="2010-11-03T12:55:00"/>
    <x v="0"/>
    <n v="14606"/>
    <x v="1"/>
    <n v="5.9"/>
  </r>
  <r>
    <n v="493706"/>
    <n v="84832"/>
    <x v="40"/>
    <x v="12"/>
    <d v="2010-01-05T14:32:00"/>
    <x v="11"/>
    <n v="15768"/>
    <x v="1"/>
    <n v="11.9"/>
  </r>
  <r>
    <n v="490823"/>
    <n v="21847"/>
    <x v="41"/>
    <x v="4"/>
    <d v="2009-12-08T12:34:00"/>
    <x v="3"/>
    <n v="14841"/>
    <x v="1"/>
    <n v="30"/>
  </r>
  <r>
    <n v="506091"/>
    <n v="21651"/>
    <x v="42"/>
    <x v="0"/>
    <d v="2010-04-27T12:12:00"/>
    <x v="1"/>
    <n v="15402"/>
    <x v="1"/>
    <n v="9.8999999999999986"/>
  </r>
  <r>
    <n v="494866"/>
    <n v="22052"/>
    <x v="43"/>
    <x v="10"/>
    <d v="2010-01-19T11:20:00"/>
    <x v="17"/>
    <n v="16253"/>
    <x v="1"/>
    <n v="10.5"/>
  </r>
  <r>
    <n v="498923"/>
    <n v="84978"/>
    <x v="44"/>
    <x v="3"/>
    <d v="2010-02-24T09:50:00"/>
    <x v="3"/>
    <n v="17028"/>
    <x v="1"/>
    <n v="15"/>
  </r>
  <r>
    <n v="509100"/>
    <n v="22511"/>
    <x v="45"/>
    <x v="1"/>
    <d v="2010-05-20T11:49:00"/>
    <x v="16"/>
    <n v="17841"/>
    <x v="1"/>
    <n v="3.75"/>
  </r>
  <r>
    <s v="C511560"/>
    <n v="20914"/>
    <x v="46"/>
    <x v="13"/>
    <d v="2010-06-09T10:39:00"/>
    <x v="0"/>
    <n v="18231"/>
    <x v="1"/>
    <n v="-2.95"/>
  </r>
  <r>
    <n v="524746"/>
    <n v="22752"/>
    <x v="47"/>
    <x v="7"/>
    <d v="2010-09-30T14:41:00"/>
    <x v="20"/>
    <n v="16859"/>
    <x v="1"/>
    <n v="34"/>
  </r>
  <r>
    <n v="496821"/>
    <n v="22236"/>
    <x v="48"/>
    <x v="2"/>
    <d v="2010-02-04T10:37:00"/>
    <x v="14"/>
    <n v="13875"/>
    <x v="1"/>
    <n v="25.5"/>
  </r>
  <r>
    <n v="513964"/>
    <n v="22380"/>
    <x v="49"/>
    <x v="14"/>
    <d v="2010-06-29T15:17:00"/>
    <x v="9"/>
    <n v="12380"/>
    <x v="5"/>
    <n v="42"/>
  </r>
  <r>
    <n v="501291"/>
    <n v="84578"/>
    <x v="50"/>
    <x v="1"/>
    <d v="2010-03-15T15:33:00"/>
    <x v="16"/>
    <n v="14343"/>
    <x v="1"/>
    <n v="3.75"/>
  </r>
  <r>
    <n v="525944"/>
    <n v="71477"/>
    <x v="51"/>
    <x v="15"/>
    <d v="2010-10-07T17:42:00"/>
    <x v="21"/>
    <s v="16059"/>
    <x v="1"/>
    <n v="16.25"/>
  </r>
  <r>
    <n v="498577"/>
    <n v="21892"/>
    <x v="52"/>
    <x v="3"/>
    <d v="2010-02-21T13:48:00"/>
    <x v="3"/>
    <n v="16948"/>
    <x v="1"/>
    <n v="15"/>
  </r>
  <r>
    <n v="497958"/>
    <n v="21156"/>
    <x v="53"/>
    <x v="2"/>
    <d v="2010-02-15T13:20:00"/>
    <x v="5"/>
    <n v="14680"/>
    <x v="1"/>
    <n v="3.9"/>
  </r>
  <r>
    <n v="504152"/>
    <n v="21622"/>
    <x v="54"/>
    <x v="8"/>
    <d v="2010-04-11T13:49:00"/>
    <x v="22"/>
    <n v="17838"/>
    <x v="1"/>
    <n v="39.6"/>
  </r>
  <r>
    <n v="501657"/>
    <n v="22328"/>
    <x v="55"/>
    <x v="1"/>
    <d v="2010-03-18T13:10:00"/>
    <x v="0"/>
    <n v="13243"/>
    <x v="1"/>
    <n v="2.95"/>
  </r>
  <r>
    <n v="491816"/>
    <n v="20862"/>
    <x v="56"/>
    <x v="0"/>
    <d v="2009-12-14T13:36:00"/>
    <x v="9"/>
    <n v="14961"/>
    <x v="1"/>
    <n v="12.600000000000001"/>
  </r>
  <r>
    <n v="493960"/>
    <n v="22024"/>
    <x v="57"/>
    <x v="4"/>
    <d v="2010-01-08T15:01:00"/>
    <x v="23"/>
    <n v="16556"/>
    <x v="1"/>
    <n v="10.08"/>
  </r>
  <r>
    <n v="531746"/>
    <n v="22745"/>
    <x v="58"/>
    <x v="1"/>
    <d v="2010-11-09T13:00:00"/>
    <x v="9"/>
    <n v="14527"/>
    <x v="1"/>
    <n v="2.1"/>
  </r>
  <r>
    <n v="512093"/>
    <n v="21731"/>
    <x v="59"/>
    <x v="4"/>
    <d v="2010-06-13T13:06:00"/>
    <x v="1"/>
    <n v="16954"/>
    <x v="1"/>
    <n v="39.599999999999994"/>
  </r>
  <r>
    <n v="495576"/>
    <n v="22355"/>
    <x v="60"/>
    <x v="11"/>
    <d v="2010-01-26T09:41:00"/>
    <x v="11"/>
    <n v="15259"/>
    <x v="1"/>
    <n v="8.5"/>
  </r>
  <r>
    <n v="506383"/>
    <n v="21431"/>
    <x v="61"/>
    <x v="8"/>
    <d v="2010-04-29T12:30:00"/>
    <x v="1"/>
    <n v="13824"/>
    <x v="1"/>
    <n v="13.2"/>
  </r>
  <r>
    <n v="523097"/>
    <n v="48138"/>
    <x v="62"/>
    <x v="5"/>
    <d v="2010-09-20T12:21:00"/>
    <x v="2"/>
    <n v="17055"/>
    <x v="1"/>
    <n v="23.85"/>
  </r>
  <r>
    <n v="534221"/>
    <n v="22745"/>
    <x v="58"/>
    <x v="1"/>
    <d v="2010-11-21T16:15:00"/>
    <x v="9"/>
    <s v="16049"/>
    <x v="1"/>
    <n v="2.1"/>
  </r>
  <r>
    <n v="529763"/>
    <n v="22118"/>
    <x v="63"/>
    <x v="1"/>
    <d v="2010-10-29T15:00:00"/>
    <x v="24"/>
    <n v="14081"/>
    <x v="1"/>
    <n v="4.95"/>
  </r>
  <r>
    <n v="528417"/>
    <n v="22665"/>
    <x v="64"/>
    <x v="0"/>
    <d v="2010-10-22T09:36:00"/>
    <x v="0"/>
    <n v="14156"/>
    <x v="0"/>
    <n v="17.700000000000003"/>
  </r>
  <r>
    <n v="510232"/>
    <n v="22605"/>
    <x v="65"/>
    <x v="5"/>
    <d v="2010-05-28T09:40:00"/>
    <x v="14"/>
    <n v="15674"/>
    <x v="1"/>
    <n v="38.25"/>
  </r>
  <r>
    <n v="528176"/>
    <s v="72807C"/>
    <x v="66"/>
    <x v="7"/>
    <d v="2010-10-21T10:28:00"/>
    <x v="25"/>
    <n v="12725"/>
    <x v="6"/>
    <n v="17"/>
  </r>
  <r>
    <n v="528761"/>
    <n v="22435"/>
    <x v="67"/>
    <x v="3"/>
    <d v="2010-10-24T15:42:00"/>
    <x v="3"/>
    <n v="13898"/>
    <x v="1"/>
    <n v="15"/>
  </r>
  <r>
    <n v="501284"/>
    <n v="22321"/>
    <x v="68"/>
    <x v="4"/>
    <d v="2010-03-15T14:19:00"/>
    <x v="26"/>
    <n v="12714"/>
    <x v="3"/>
    <n v="20.399999999999999"/>
  </r>
  <r>
    <n v="496703"/>
    <n v="22076"/>
    <x v="69"/>
    <x v="3"/>
    <d v="2010-02-03T13:22:00"/>
    <x v="1"/>
    <n v="12396"/>
    <x v="7"/>
    <n v="19.799999999999997"/>
  </r>
  <r>
    <n v="497946"/>
    <n v="85198"/>
    <x v="70"/>
    <x v="16"/>
    <d v="2010-02-15T11:57:00"/>
    <x v="27"/>
    <s v="13902"/>
    <x v="8"/>
    <n v="993.59999999999991"/>
  </r>
  <r>
    <n v="507178"/>
    <n v="21121"/>
    <x v="71"/>
    <x v="17"/>
    <d v="2010-05-06T15:17:00"/>
    <x v="28"/>
    <n v="14646"/>
    <x v="9"/>
    <n v="305.28000000000003"/>
  </r>
  <r>
    <n v="516265"/>
    <n v="22378"/>
    <x v="72"/>
    <x v="1"/>
    <d v="2010-07-19T12:07:00"/>
    <x v="9"/>
    <n v="16782"/>
    <x v="1"/>
    <n v="2.1"/>
  </r>
  <r>
    <n v="505885"/>
    <n v="21175"/>
    <x v="73"/>
    <x v="3"/>
    <d v="2010-04-26T14:04:00"/>
    <x v="9"/>
    <n v="16623"/>
    <x v="1"/>
    <n v="25.200000000000003"/>
  </r>
  <r>
    <n v="510139"/>
    <n v="21892"/>
    <x v="52"/>
    <x v="2"/>
    <d v="2010-05-27T12:24:00"/>
    <x v="3"/>
    <n v="16695"/>
    <x v="1"/>
    <n v="2.5"/>
  </r>
  <r>
    <n v="502628"/>
    <n v="22262"/>
    <x v="74"/>
    <x v="18"/>
    <d v="2010-03-25T15:36:00"/>
    <x v="11"/>
    <n v="16670"/>
    <x v="1"/>
    <n v="10.199999999999999"/>
  </r>
  <r>
    <n v="511851"/>
    <n v="48184"/>
    <x v="75"/>
    <x v="1"/>
    <d v="2010-06-10T19:21:00"/>
    <x v="10"/>
    <n v="13542"/>
    <x v="1"/>
    <n v="7.49"/>
  </r>
  <r>
    <n v="500326"/>
    <s v="85206A"/>
    <x v="76"/>
    <x v="2"/>
    <d v="2010-03-07T12:25:00"/>
    <x v="1"/>
    <n v="14877"/>
    <x v="1"/>
    <n v="3.3"/>
  </r>
  <r>
    <n v="526089"/>
    <n v="22294"/>
    <x v="77"/>
    <x v="4"/>
    <d v="2010-10-08T12:14:00"/>
    <x v="3"/>
    <n v="15281"/>
    <x v="1"/>
    <n v="30"/>
  </r>
  <r>
    <n v="518432"/>
    <n v="21212"/>
    <x v="78"/>
    <x v="4"/>
    <d v="2010-08-09T11:06:00"/>
    <x v="29"/>
    <n v="14625"/>
    <x v="1"/>
    <n v="13.200000000000001"/>
  </r>
  <r>
    <n v="533547"/>
    <n v="84380"/>
    <x v="79"/>
    <x v="3"/>
    <d v="2010-11-17T16:48:00"/>
    <x v="3"/>
    <n v="16409"/>
    <x v="1"/>
    <n v="15"/>
  </r>
  <r>
    <n v="527754"/>
    <n v="84580"/>
    <x v="80"/>
    <x v="2"/>
    <d v="2010-10-18T17:05:00"/>
    <x v="16"/>
    <n v="15710"/>
    <x v="1"/>
    <n v="7.5"/>
  </r>
  <r>
    <n v="496008"/>
    <n v="21428"/>
    <x v="81"/>
    <x v="7"/>
    <d v="2010-01-28T12:36:00"/>
    <x v="30"/>
    <n v="14911"/>
    <x v="0"/>
    <n v="17"/>
  </r>
  <r>
    <n v="509071"/>
    <n v="84839"/>
    <x v="82"/>
    <x v="2"/>
    <d v="2010-05-20T11:41:00"/>
    <x v="31"/>
    <n v="16471"/>
    <x v="1"/>
    <n v="13.5"/>
  </r>
  <r>
    <n v="535656"/>
    <n v="21986"/>
    <x v="83"/>
    <x v="5"/>
    <d v="2010-11-28T11:19:00"/>
    <x v="32"/>
    <n v="16010"/>
    <x v="1"/>
    <n v="0.86999999999999988"/>
  </r>
  <r>
    <n v="522885"/>
    <n v="21535"/>
    <x v="84"/>
    <x v="0"/>
    <d v="2010-09-17T12:06:00"/>
    <x v="4"/>
    <n v="13952"/>
    <x v="1"/>
    <n v="15.299999999999999"/>
  </r>
  <r>
    <n v="502038"/>
    <n v="20749"/>
    <x v="85"/>
    <x v="2"/>
    <d v="2010-03-22T13:49:00"/>
    <x v="2"/>
    <n v="13206"/>
    <x v="1"/>
    <n v="15.9"/>
  </r>
  <r>
    <n v="516132"/>
    <n v="22139"/>
    <x v="86"/>
    <x v="3"/>
    <d v="2010-07-16T15:27:00"/>
    <x v="24"/>
    <n v="16767"/>
    <x v="1"/>
    <n v="59.400000000000006"/>
  </r>
  <r>
    <n v="511500"/>
    <n v="21216"/>
    <x v="87"/>
    <x v="7"/>
    <d v="2010-06-08T14:44:00"/>
    <x v="24"/>
    <n v="14210"/>
    <x v="1"/>
    <n v="19.8"/>
  </r>
  <r>
    <n v="518547"/>
    <n v="21426"/>
    <x v="88"/>
    <x v="19"/>
    <d v="2010-08-09T18:30:00"/>
    <x v="3"/>
    <n v="18102"/>
    <x v="1"/>
    <n v="120"/>
  </r>
  <r>
    <n v="501689"/>
    <n v="22021"/>
    <x v="89"/>
    <x v="3"/>
    <d v="2010-03-18T17:05:00"/>
    <x v="1"/>
    <n v="15738"/>
    <x v="1"/>
    <n v="19.799999999999997"/>
  </r>
  <r>
    <n v="489802"/>
    <n v="85104"/>
    <x v="90"/>
    <x v="7"/>
    <d v="2009-12-02T12:32:00"/>
    <x v="0"/>
    <n v="15581"/>
    <x v="1"/>
    <n v="11.8"/>
  </r>
  <r>
    <n v="497364"/>
    <s v="84997B"/>
    <x v="91"/>
    <x v="0"/>
    <d v="2010-02-09T09:47:00"/>
    <x v="16"/>
    <n v="13131"/>
    <x v="1"/>
    <n v="22.5"/>
  </r>
  <r>
    <n v="535332"/>
    <n v="84879"/>
    <x v="92"/>
    <x v="8"/>
    <d v="2010-11-25T15:55:00"/>
    <x v="33"/>
    <n v="18161"/>
    <x v="1"/>
    <n v="13.52"/>
  </r>
  <r>
    <n v="513953"/>
    <n v="21043"/>
    <x v="93"/>
    <x v="5"/>
    <d v="2010-06-29T14:14:00"/>
    <x v="6"/>
    <n v="14426"/>
    <x v="1"/>
    <n v="17.850000000000001"/>
  </r>
  <r>
    <n v="494359"/>
    <n v="21730"/>
    <x v="94"/>
    <x v="2"/>
    <d v="2010-01-13T15:24:00"/>
    <x v="24"/>
    <n v="17962"/>
    <x v="1"/>
    <n v="9.9"/>
  </r>
  <r>
    <n v="533376"/>
    <n v="22113"/>
    <x v="95"/>
    <x v="3"/>
    <d v="2010-11-17T10:39:00"/>
    <x v="34"/>
    <n v="15640"/>
    <x v="1"/>
    <n v="45"/>
  </r>
  <r>
    <n v="536975"/>
    <s v=" 21888 "/>
    <x v="96"/>
    <x v="7"/>
    <d v="2010-12-03T14:04:00"/>
    <x v="16"/>
    <n v="14911"/>
    <x v="0"/>
    <n v="15"/>
  </r>
  <r>
    <n v="537346"/>
    <n v="22733"/>
    <x v="97"/>
    <x v="20"/>
    <d v="2010-12-06T12:21:00"/>
    <x v="3"/>
    <n v="15301"/>
    <x v="1"/>
    <n v="22.5"/>
  </r>
  <r>
    <n v="525577"/>
    <n v="22208"/>
    <x v="98"/>
    <x v="6"/>
    <d v="2010-10-06T10:41:00"/>
    <x v="1"/>
    <n v="16253"/>
    <x v="1"/>
    <n v="59.4"/>
  </r>
  <r>
    <n v="533064"/>
    <n v="22141"/>
    <x v="99"/>
    <x v="1"/>
    <d v="2010-11-15T17:01:00"/>
    <x v="9"/>
    <n v="17364"/>
    <x v="1"/>
    <n v="2.1"/>
  </r>
  <r>
    <n v="523648"/>
    <s v="85123A"/>
    <x v="100"/>
    <x v="0"/>
    <d v="2010-09-23T12:37:00"/>
    <x v="0"/>
    <n v="16830"/>
    <x v="1"/>
    <n v="17.700000000000003"/>
  </r>
  <r>
    <n v="525974"/>
    <n v="22948"/>
    <x v="101"/>
    <x v="4"/>
    <d v="2010-10-08T10:23:00"/>
    <x v="11"/>
    <n v="14769"/>
    <x v="1"/>
    <n v="20.399999999999999"/>
  </r>
  <r>
    <n v="533841"/>
    <n v="20961"/>
    <x v="102"/>
    <x v="1"/>
    <d v="2010-11-19T11:12:00"/>
    <x v="3"/>
    <n v="17269"/>
    <x v="1"/>
    <n v="1.25"/>
  </r>
  <r>
    <n v="537762"/>
    <n v="22909"/>
    <x v="103"/>
    <x v="3"/>
    <d v="2010-12-08T12:01:00"/>
    <x v="11"/>
    <n v="16558"/>
    <x v="1"/>
    <n v="10.199999999999999"/>
  </r>
  <r>
    <n v="525898"/>
    <n v="35924"/>
    <x v="104"/>
    <x v="1"/>
    <d v="2010-10-07T15:33:00"/>
    <x v="9"/>
    <n v="16072"/>
    <x v="1"/>
    <n v="2.1"/>
  </r>
  <r>
    <n v="507880"/>
    <n v="47568"/>
    <x v="105"/>
    <x v="0"/>
    <d v="2010-05-11T15:03:00"/>
    <x v="9"/>
    <n v="12455"/>
    <x v="10"/>
    <n v="12.600000000000001"/>
  </r>
  <r>
    <n v="537065"/>
    <s v="84997B"/>
    <x v="106"/>
    <x v="0"/>
    <d v="2010-12-05T11:57:00"/>
    <x v="16"/>
    <n v="12567"/>
    <x v="3"/>
    <n v="22.5"/>
  </r>
  <r>
    <n v="504413"/>
    <n v="22440"/>
    <x v="107"/>
    <x v="14"/>
    <d v="2010-04-13T12:27:00"/>
    <x v="17"/>
    <n v="13089"/>
    <x v="1"/>
    <n v="8.4"/>
  </r>
  <r>
    <n v="525286"/>
    <n v="20825"/>
    <x v="108"/>
    <x v="17"/>
    <d v="2010-10-05T08:34:00"/>
    <x v="35"/>
    <n v="15061"/>
    <x v="1"/>
    <n v="976.32"/>
  </r>
  <r>
    <n v="511081"/>
    <n v="22470"/>
    <x v="109"/>
    <x v="0"/>
    <d v="2010-06-06T14:05:00"/>
    <x v="0"/>
    <n v="14128"/>
    <x v="1"/>
    <n v="17.700000000000003"/>
  </r>
  <r>
    <n v="490957"/>
    <n v="22134"/>
    <x v="110"/>
    <x v="3"/>
    <d v="2009-12-08T15:12:00"/>
    <x v="17"/>
    <n v="15823"/>
    <x v="1"/>
    <n v="5.04"/>
  </r>
  <r>
    <n v="500336"/>
    <n v="21327"/>
    <x v="111"/>
    <x v="2"/>
    <d v="2010-03-07T13:48:00"/>
    <x v="1"/>
    <n v="17589"/>
    <x v="1"/>
    <n v="3.3"/>
  </r>
  <r>
    <n v="528470"/>
    <n v="22947"/>
    <x v="112"/>
    <x v="1"/>
    <d v="2010-10-22T11:40:00"/>
    <x v="36"/>
    <n v="16392"/>
    <x v="1"/>
    <n v="16.95"/>
  </r>
  <r>
    <n v="521406"/>
    <n v="22379"/>
    <x v="113"/>
    <x v="10"/>
    <d v="2010-09-06T10:42:00"/>
    <x v="9"/>
    <n v="13093"/>
    <x v="1"/>
    <n v="52.5"/>
  </r>
  <r>
    <n v="526945"/>
    <n v="22764"/>
    <x v="114"/>
    <x v="21"/>
    <d v="2010-10-14T10:30:00"/>
    <x v="37"/>
    <n v="18102"/>
    <x v="1"/>
    <n v="573.91999999999996"/>
  </r>
  <r>
    <n v="502613"/>
    <n v="22082"/>
    <x v="115"/>
    <x v="15"/>
    <d v="2010-03-25T14:22:00"/>
    <x v="1"/>
    <n v="14535"/>
    <x v="1"/>
    <n v="8.25"/>
  </r>
  <r>
    <n v="498594"/>
    <s v="47594B"/>
    <x v="116"/>
    <x v="1"/>
    <d v="2010-02-21T15:48:00"/>
    <x v="5"/>
    <n v="16797"/>
    <x v="1"/>
    <n v="1.95"/>
  </r>
  <r>
    <n v="528734"/>
    <n v="22303"/>
    <x v="117"/>
    <x v="0"/>
    <d v="2010-10-24T13:55:00"/>
    <x v="4"/>
    <n v="17435"/>
    <x v="1"/>
    <n v="15.299999999999999"/>
  </r>
  <r>
    <n v="516485"/>
    <n v="22617"/>
    <x v="118"/>
    <x v="5"/>
    <d v="2010-07-21T09:46:00"/>
    <x v="24"/>
    <n v="12720"/>
    <x v="2"/>
    <n v="14.850000000000001"/>
  </r>
  <r>
    <n v="535266"/>
    <n v="22975"/>
    <x v="119"/>
    <x v="1"/>
    <d v="2010-11-25T13:32:00"/>
    <x v="3"/>
    <n v="14159"/>
    <x v="1"/>
    <n v="1.25"/>
  </r>
  <r>
    <n v="495010"/>
    <s v="72753C"/>
    <x v="120"/>
    <x v="2"/>
    <d v="2010-01-20T12:35:00"/>
    <x v="2"/>
    <n v="15191"/>
    <x v="1"/>
    <n v="15.9"/>
  </r>
  <r>
    <n v="536557"/>
    <n v="22111"/>
    <x v="121"/>
    <x v="22"/>
    <d v="2010-12-01T14:41:00"/>
    <x v="24"/>
    <n v="17841"/>
    <x v="1"/>
    <n v="34.65"/>
  </r>
  <r>
    <n v="499377"/>
    <n v="20621"/>
    <x v="122"/>
    <x v="1"/>
    <d v="2010-02-26T11:59:00"/>
    <x v="9"/>
    <n v="14177"/>
    <x v="1"/>
    <n v="2.1"/>
  </r>
  <r>
    <n v="523867"/>
    <n v="21872"/>
    <x v="123"/>
    <x v="1"/>
    <d v="2010-09-24T12:43:00"/>
    <x v="3"/>
    <n v="13174"/>
    <x v="1"/>
    <n v="1.25"/>
  </r>
  <r>
    <n v="512527"/>
    <n v="22421"/>
    <x v="124"/>
    <x v="3"/>
    <d v="2010-06-16T11:53:00"/>
    <x v="17"/>
    <n v="17448"/>
    <x v="1"/>
    <n v="5.04"/>
  </r>
  <r>
    <n v="510331"/>
    <n v="22613"/>
    <x v="125"/>
    <x v="3"/>
    <d v="2010-05-28T13:57:00"/>
    <x v="11"/>
    <n v="13081"/>
    <x v="1"/>
    <n v="10.199999999999999"/>
  </r>
  <r>
    <n v="509985"/>
    <n v="48138"/>
    <x v="126"/>
    <x v="2"/>
    <d v="2010-05-26T14:43:00"/>
    <x v="10"/>
    <n v="12681"/>
    <x v="3"/>
    <n v="14.98"/>
  </r>
  <r>
    <n v="521363"/>
    <n v="22595"/>
    <x v="127"/>
    <x v="23"/>
    <d v="2010-09-05T10:06:00"/>
    <x v="11"/>
    <n v="15255"/>
    <x v="1"/>
    <n v="40.799999999999997"/>
  </r>
  <r>
    <n v="503837"/>
    <s v="85231G"/>
    <x v="128"/>
    <x v="3"/>
    <d v="2010-04-07T16:21:00"/>
    <x v="11"/>
    <n v="17738"/>
    <x v="1"/>
    <n v="10.199999999999999"/>
  </r>
  <r>
    <n v="507122"/>
    <n v="21987"/>
    <x v="129"/>
    <x v="24"/>
    <d v="2010-05-06T11:50:00"/>
    <x v="18"/>
    <n v="12678"/>
    <x v="3"/>
    <n v="54.6"/>
  </r>
  <r>
    <n v="528329"/>
    <n v="21866"/>
    <x v="130"/>
    <x v="1"/>
    <d v="2010-10-21T13:23:00"/>
    <x v="3"/>
    <n v="13891"/>
    <x v="1"/>
    <n v="1.25"/>
  </r>
  <r>
    <n v="521973"/>
    <n v="20754"/>
    <x v="131"/>
    <x v="1"/>
    <d v="2010-09-09T19:46:00"/>
    <x v="38"/>
    <n v="17366"/>
    <x v="1"/>
    <n v="2.1"/>
  </r>
  <r>
    <n v="515760"/>
    <n v="85150"/>
    <x v="132"/>
    <x v="3"/>
    <d v="2010-07-14T13:40:00"/>
    <x v="4"/>
    <n v="13012"/>
    <x v="1"/>
    <n v="30.599999999999998"/>
  </r>
  <r>
    <n v="508721"/>
    <n v="21870"/>
    <x v="133"/>
    <x v="2"/>
    <d v="2010-05-17T17:24:00"/>
    <x v="3"/>
    <n v="14606"/>
    <x v="1"/>
    <n v="2.5"/>
  </r>
  <r>
    <n v="500354"/>
    <n v="22178"/>
    <x v="134"/>
    <x v="3"/>
    <d v="2010-03-07T15:27:00"/>
    <x v="3"/>
    <n v="13026"/>
    <x v="1"/>
    <n v="15"/>
  </r>
  <r>
    <n v="495715"/>
    <n v="21179"/>
    <x v="135"/>
    <x v="2"/>
    <d v="2010-01-26T14:05:00"/>
    <x v="3"/>
    <n v="13610"/>
    <x v="1"/>
    <n v="2.5"/>
  </r>
  <r>
    <n v="493948"/>
    <n v="48194"/>
    <x v="136"/>
    <x v="5"/>
    <d v="2010-01-08T12:38:00"/>
    <x v="31"/>
    <n v="16772"/>
    <x v="1"/>
    <n v="20.25"/>
  </r>
  <r>
    <n v="513053"/>
    <n v="22077"/>
    <x v="137"/>
    <x v="3"/>
    <s v="2010-06-21 13:32"/>
    <x v="1"/>
    <n v="16062"/>
    <x v="1"/>
    <n v="19.799999999999997"/>
  </r>
  <r>
    <n v="496058"/>
    <n v="21710"/>
    <x v="138"/>
    <x v="7"/>
    <d v="2010-01-28T15:17:00"/>
    <x v="24"/>
    <n v="17115"/>
    <x v="1"/>
    <n v="19.8"/>
  </r>
  <r>
    <n v="528966"/>
    <n v="22112"/>
    <x v="139"/>
    <x v="5"/>
    <d v="2010-10-26T10:03:00"/>
    <x v="24"/>
    <n v="16863"/>
    <x v="1"/>
    <n v="14.850000000000001"/>
  </r>
  <r>
    <n v="521775"/>
    <n v="48111"/>
    <x v="140"/>
    <x v="7"/>
    <d v="2010-09-08T12:38:00"/>
    <x v="2"/>
    <n v="13728"/>
    <x v="1"/>
    <n v="31.8"/>
  </r>
  <r>
    <n v="504154"/>
    <n v="22528"/>
    <x v="141"/>
    <x v="7"/>
    <d v="2010-04-11T14:28:00"/>
    <x v="3"/>
    <n v="15443"/>
    <x v="1"/>
    <n v="5"/>
  </r>
  <r>
    <n v="494267"/>
    <n v="21260"/>
    <x v="142"/>
    <x v="1"/>
    <d v="2010-01-12T17:15:00"/>
    <x v="21"/>
    <n v="14606"/>
    <x v="1"/>
    <n v="3.25"/>
  </r>
  <r>
    <n v="505479"/>
    <n v="22194"/>
    <x v="143"/>
    <x v="1"/>
    <d v="2010-04-22T12:12:00"/>
    <x v="20"/>
    <n v="18231"/>
    <x v="1"/>
    <n v="8.5"/>
  </r>
  <r>
    <n v="507597"/>
    <n v="22256"/>
    <x v="144"/>
    <x v="3"/>
    <d v="2010-05-10T13:21:00"/>
    <x v="3"/>
    <s v="17700"/>
    <x v="1"/>
    <n v="15"/>
  </r>
  <r>
    <n v="507996"/>
    <n v="22411"/>
    <x v="145"/>
    <x v="25"/>
    <d v="2010-05-12T10:56:00"/>
    <x v="1"/>
    <n v="17511"/>
    <x v="1"/>
    <n v="330"/>
  </r>
  <r>
    <n v="509441"/>
    <n v="22470"/>
    <x v="109"/>
    <x v="2"/>
    <d v="2010-05-23T15:52:00"/>
    <x v="0"/>
    <n v="16794"/>
    <x v="1"/>
    <n v="5.9"/>
  </r>
  <r>
    <n v="520700"/>
    <n v="22429"/>
    <x v="146"/>
    <x v="1"/>
    <d v="2010-08-29T11:31:00"/>
    <x v="25"/>
    <n v="15976"/>
    <x v="1"/>
    <n v="4.25"/>
  </r>
  <r>
    <n v="533761"/>
    <n v="22835"/>
    <x v="147"/>
    <x v="1"/>
    <d v="2010-11-18T14:52:00"/>
    <x v="15"/>
    <n v="17841"/>
    <x v="1"/>
    <n v="4.6500000000000004"/>
  </r>
  <r>
    <s v="C502092"/>
    <n v="21658"/>
    <x v="148"/>
    <x v="26"/>
    <d v="2010-03-22T16:50:00"/>
    <x v="39"/>
    <n v="17539"/>
    <x v="1"/>
    <n v="-39.5"/>
  </r>
  <r>
    <n v="520904"/>
    <n v="22759"/>
    <x v="149"/>
    <x v="3"/>
    <d v="2010-09-01T10:15:00"/>
    <x v="40"/>
    <n v="16607"/>
    <x v="1"/>
    <n v="19.799999999999997"/>
  </r>
  <r>
    <n v="534656"/>
    <n v="22759"/>
    <x v="149"/>
    <x v="5"/>
    <d v="2010-11-23T13:36:00"/>
    <x v="1"/>
    <n v="13869"/>
    <x v="1"/>
    <n v="4.9499999999999993"/>
  </r>
  <r>
    <n v="511059"/>
    <n v="21652"/>
    <x v="150"/>
    <x v="0"/>
    <d v="2010-06-06T12:27:00"/>
    <x v="5"/>
    <n v="16466"/>
    <x v="1"/>
    <n v="11.7"/>
  </r>
  <r>
    <n v="523013"/>
    <n v="21135"/>
    <x v="151"/>
    <x v="27"/>
    <d v="2010-09-20T10:15:00"/>
    <x v="33"/>
    <n v="15599"/>
    <x v="1"/>
    <n v="27.04"/>
  </r>
  <r>
    <n v="499942"/>
    <n v="21304"/>
    <x v="152"/>
    <x v="0"/>
    <d v="2010-03-03T12:31:00"/>
    <x v="24"/>
    <n v="13873"/>
    <x v="1"/>
    <n v="29.700000000000003"/>
  </r>
  <r>
    <n v="495294"/>
    <n v="21212"/>
    <x v="78"/>
    <x v="4"/>
    <d v="2010-01-22T13:25:00"/>
    <x v="29"/>
    <n v="17460"/>
    <x v="1"/>
    <n v="13.200000000000001"/>
  </r>
  <r>
    <n v="520722"/>
    <s v="85123A"/>
    <x v="100"/>
    <x v="11"/>
    <d v="2010-08-29T14:44:00"/>
    <x v="0"/>
    <n v="18149"/>
    <x v="1"/>
    <n v="29.5"/>
  </r>
  <r>
    <n v="532985"/>
    <n v="22904"/>
    <x v="153"/>
    <x v="7"/>
    <d v="2010-11-15T13:56:00"/>
    <x v="0"/>
    <n v="12733"/>
    <x v="11"/>
    <n v="11.8"/>
  </r>
  <r>
    <n v="514682"/>
    <n v="37447"/>
    <x v="154"/>
    <x v="3"/>
    <d v="2010-07-05T13:56:00"/>
    <x v="41"/>
    <n v="12693"/>
    <x v="2"/>
    <n v="17.88"/>
  </r>
  <r>
    <n v="522248"/>
    <n v="84946"/>
    <x v="10"/>
    <x v="0"/>
    <d v="2010-09-13T12:19:00"/>
    <x v="3"/>
    <n v="13593"/>
    <x v="1"/>
    <n v="7.5"/>
  </r>
  <r>
    <n v="497383"/>
    <n v="85216"/>
    <x v="155"/>
    <x v="3"/>
    <d v="2010-02-09T12:01:00"/>
    <x v="18"/>
    <n v="12621"/>
    <x v="2"/>
    <n v="7.8000000000000007"/>
  </r>
  <r>
    <n v="501614"/>
    <n v="21378"/>
    <x v="156"/>
    <x v="28"/>
    <d v="2010-03-18T10:58:00"/>
    <x v="18"/>
    <n v="13694"/>
    <x v="1"/>
    <n v="93.600000000000009"/>
  </r>
  <r>
    <n v="508652"/>
    <n v="37448"/>
    <x v="157"/>
    <x v="1"/>
    <d v="2010-05-17T15:48:00"/>
    <x v="41"/>
    <n v="16400"/>
    <x v="1"/>
    <n v="1.49"/>
  </r>
  <r>
    <n v="533038"/>
    <s v=" 22283 "/>
    <x v="158"/>
    <x v="2"/>
    <d v="2010-11-15T16:13:00"/>
    <x v="2"/>
    <n v="14065"/>
    <x v="1"/>
    <n v="15.9"/>
  </r>
  <r>
    <n v="497909"/>
    <n v="22058"/>
    <x v="159"/>
    <x v="1"/>
    <d v="2010-02-14T13:39:00"/>
    <x v="41"/>
    <n v="15272"/>
    <x v="1"/>
    <n v="1.49"/>
  </r>
  <r>
    <n v="501267"/>
    <n v="22292"/>
    <x v="160"/>
    <x v="7"/>
    <d v="2010-03-15T12:54:00"/>
    <x v="42"/>
    <n v="17085"/>
    <x v="1"/>
    <n v="5.8"/>
  </r>
  <r>
    <n v="501710"/>
    <n v="22151"/>
    <x v="161"/>
    <x v="4"/>
    <d v="2010-03-19T10:07:00"/>
    <x v="17"/>
    <n v="17738"/>
    <x v="1"/>
    <n v="10.08"/>
  </r>
  <r>
    <n v="513559"/>
    <n v="84789"/>
    <x v="162"/>
    <x v="2"/>
    <d v="2010-06-25T13:35:00"/>
    <x v="16"/>
    <n v="17804"/>
    <x v="1"/>
    <n v="7.5"/>
  </r>
  <r>
    <n v="509759"/>
    <n v="20726"/>
    <x v="163"/>
    <x v="11"/>
    <d v="2010-05-25T15:21:00"/>
    <x v="1"/>
    <n v="14930"/>
    <x v="12"/>
    <n v="16.5"/>
  </r>
  <r>
    <n v="532681"/>
    <n v="22132"/>
    <x v="164"/>
    <x v="1"/>
    <d v="2010-11-14T12:36:00"/>
    <x v="11"/>
    <n v="17561"/>
    <x v="1"/>
    <n v="0.85"/>
  </r>
  <r>
    <n v="500362"/>
    <s v="82494L"/>
    <x v="165"/>
    <x v="7"/>
    <d v="2010-03-07T16:12:00"/>
    <x v="0"/>
    <n v="17449"/>
    <x v="1"/>
    <n v="11.8"/>
  </r>
  <r>
    <n v="531735"/>
    <n v="22833"/>
    <x v="166"/>
    <x v="1"/>
    <d v="2010-11-09T12:28:00"/>
    <x v="43"/>
    <n v="17428"/>
    <x v="1"/>
    <n v="49.95"/>
  </r>
  <r>
    <n v="521989"/>
    <n v="22940"/>
    <x v="167"/>
    <x v="7"/>
    <d v="2010-09-10T10:47:00"/>
    <x v="25"/>
    <n v="12921"/>
    <x v="1"/>
    <n v="17"/>
  </r>
  <r>
    <n v="534516"/>
    <n v="22703"/>
    <x v="168"/>
    <x v="0"/>
    <d v="2010-11-23T12:00:00"/>
    <x v="9"/>
    <n v="15235"/>
    <x v="1"/>
    <n v="12.600000000000001"/>
  </r>
  <r>
    <n v="512280"/>
    <s v="47503E"/>
    <x v="169"/>
    <x v="3"/>
    <d v="2010-06-14T14:03:00"/>
    <x v="3"/>
    <n v="14911"/>
    <x v="0"/>
    <n v="15"/>
  </r>
  <r>
    <n v="500125"/>
    <n v="21586"/>
    <x v="170"/>
    <x v="3"/>
    <d v="2010-03-04T14:36:00"/>
    <x v="4"/>
    <n v="14426"/>
    <x v="1"/>
    <n v="30.599999999999998"/>
  </r>
  <r>
    <n v="493436"/>
    <n v="20869"/>
    <x v="171"/>
    <x v="29"/>
    <d v="2010-01-04T13:03:00"/>
    <x v="44"/>
    <n v="13694"/>
    <x v="1"/>
    <n v="91.2"/>
  </r>
  <r>
    <s v="C517067"/>
    <n v="37500"/>
    <x v="172"/>
    <x v="30"/>
    <d v="2010-07-26T13:42:00"/>
    <x v="45"/>
    <n v="16555"/>
    <x v="1"/>
    <n v="-39.799999999999997"/>
  </r>
  <r>
    <n v="497341"/>
    <n v="21213"/>
    <x v="173"/>
    <x v="4"/>
    <d v="2010-02-08T15:30:00"/>
    <x v="29"/>
    <n v="13819"/>
    <x v="1"/>
    <n v="13.200000000000001"/>
  </r>
  <r>
    <n v="532305"/>
    <n v="22956"/>
    <x v="174"/>
    <x v="23"/>
    <d v="2010-11-11T14:23:00"/>
    <x v="8"/>
    <n v="12356"/>
    <x v="13"/>
    <n v="88.800000000000011"/>
  </r>
  <r>
    <n v="530163"/>
    <n v="22665"/>
    <x v="64"/>
    <x v="3"/>
    <s v="11/02/2010 08:02"/>
    <x v="0"/>
    <n v="17739"/>
    <x v="1"/>
    <n v="35.400000000000006"/>
  </r>
  <r>
    <n v="525860"/>
    <n v="22633"/>
    <x v="175"/>
    <x v="3"/>
    <d v="2010-10-07T13:19:00"/>
    <x v="9"/>
    <n v="13089"/>
    <x v="1"/>
    <n v="25.200000000000003"/>
  </r>
  <r>
    <n v="525002"/>
    <n v="21564"/>
    <x v="176"/>
    <x v="0"/>
    <d v="2010-10-03T10:27:00"/>
    <x v="0"/>
    <n v="17022"/>
    <x v="1"/>
    <n v="17.700000000000003"/>
  </r>
  <r>
    <n v="507691"/>
    <n v="20992"/>
    <x v="177"/>
    <x v="7"/>
    <d v="2010-05-11T10:19:00"/>
    <x v="11"/>
    <n v="14395"/>
    <x v="1"/>
    <n v="3.4"/>
  </r>
  <r>
    <n v="525172"/>
    <n v="22501"/>
    <x v="178"/>
    <x v="2"/>
    <d v="2010-10-04T12:22:00"/>
    <x v="45"/>
    <n v="15596"/>
    <x v="1"/>
    <n v="19.899999999999999"/>
  </r>
  <r>
    <n v="492216"/>
    <n v="84869"/>
    <x v="179"/>
    <x v="3"/>
    <d v="2009-12-15T17:25:00"/>
    <x v="5"/>
    <n v="15641"/>
    <x v="1"/>
    <n v="23.4"/>
  </r>
  <r>
    <n v="490008"/>
    <n v="22151"/>
    <x v="161"/>
    <x v="2"/>
    <d v="2009-12-03T12:10:00"/>
    <x v="17"/>
    <n v="15768"/>
    <x v="1"/>
    <n v="0.84"/>
  </r>
  <r>
    <s v=" 490093 "/>
    <n v="37448"/>
    <x v="157"/>
    <x v="4"/>
    <d v="2009-12-03T15:56:00"/>
    <x v="41"/>
    <n v="12949"/>
    <x v="1"/>
    <n v="35.76"/>
  </r>
  <r>
    <n v="497346"/>
    <n v="21843"/>
    <x v="180"/>
    <x v="5"/>
    <d v="2010-02-08T15:48:00"/>
    <x v="46"/>
    <n v="16551"/>
    <x v="1"/>
    <n v="32.849999999999994"/>
  </r>
  <r>
    <n v="506718"/>
    <n v="22607"/>
    <x v="181"/>
    <x v="2"/>
    <d v="2010-05-04T09:01:00"/>
    <x v="20"/>
    <n v="17091"/>
    <x v="1"/>
    <n v="17"/>
  </r>
  <r>
    <n v="526462"/>
    <n v="22441"/>
    <x v="182"/>
    <x v="5"/>
    <d v="2010-10-11T16:14:00"/>
    <x v="9"/>
    <n v="15024"/>
    <x v="1"/>
    <n v="6.3000000000000007"/>
  </r>
  <r>
    <n v="499900"/>
    <n v="85200"/>
    <x v="183"/>
    <x v="3"/>
    <d v="2010-03-03T12:02:00"/>
    <x v="3"/>
    <n v="14194"/>
    <x v="1"/>
    <n v="15"/>
  </r>
  <r>
    <n v="495029"/>
    <n v="21790"/>
    <x v="184"/>
    <x v="5"/>
    <d v="2010-01-20T14:03:00"/>
    <x v="11"/>
    <n v="16085"/>
    <x v="1"/>
    <n v="2.5499999999999998"/>
  </r>
  <r>
    <n v="534656"/>
    <n v="22576"/>
    <x v="185"/>
    <x v="7"/>
    <d v="2010-11-23T13:36:00"/>
    <x v="11"/>
    <n v="13869"/>
    <x v="1"/>
    <n v="3.4"/>
  </r>
  <r>
    <n v="514355"/>
    <n v="22553"/>
    <x v="186"/>
    <x v="11"/>
    <d v="2010-07-01T16:48:00"/>
    <x v="1"/>
    <n v="17589"/>
    <x v="1"/>
    <n v="16.5"/>
  </r>
  <r>
    <n v="532076"/>
    <n v="22396"/>
    <x v="187"/>
    <x v="1"/>
    <d v="2010-11-10T15:00:00"/>
    <x v="3"/>
    <n v="17338"/>
    <x v="1"/>
    <n v="1.25"/>
  </r>
  <r>
    <n v="490382"/>
    <n v="20819"/>
    <x v="188"/>
    <x v="7"/>
    <d v="2009-12-05T13:32:00"/>
    <x v="16"/>
    <n v="12359"/>
    <x v="10"/>
    <n v="15"/>
  </r>
  <r>
    <n v="518426"/>
    <n v="85016"/>
    <x v="189"/>
    <x v="0"/>
    <d v="2010-08-09T09:45:00"/>
    <x v="47"/>
    <n v="16170"/>
    <x v="1"/>
    <n v="15.299999999999999"/>
  </r>
  <r>
    <n v="525928"/>
    <n v="22909"/>
    <x v="103"/>
    <x v="8"/>
    <d v="2010-10-07T16:48:00"/>
    <x v="11"/>
    <n v="16072"/>
    <x v="1"/>
    <n v="6.8"/>
  </r>
  <r>
    <n v="530753"/>
    <s v="84406B"/>
    <x v="190"/>
    <x v="8"/>
    <d v="2010-11-04T11:56:00"/>
    <x v="21"/>
    <n v="12949"/>
    <x v="1"/>
    <n v="26"/>
  </r>
  <r>
    <n v="530785"/>
    <s v="84931B"/>
    <x v="191"/>
    <x v="0"/>
    <d v="2010-11-04T12:09:00"/>
    <x v="4"/>
    <n v="17702"/>
    <x v="1"/>
    <n v="15.299999999999999"/>
  </r>
  <r>
    <n v="517111"/>
    <n v="82600"/>
    <x v="192"/>
    <x v="3"/>
    <d v="2010-07-26T15:41:00"/>
    <x v="9"/>
    <s v="14854"/>
    <x v="1"/>
    <n v="25.200000000000003"/>
  </r>
  <r>
    <n v="521195"/>
    <s v="16156S"/>
    <x v="193"/>
    <x v="10"/>
    <d v="2010-09-02T17:17:00"/>
    <x v="17"/>
    <n v="15424"/>
    <x v="1"/>
    <n v="10.5"/>
  </r>
  <r>
    <n v="502922"/>
    <n v="85119"/>
    <x v="194"/>
    <x v="1"/>
    <d v="2010-03-29T14:04:00"/>
    <x v="33"/>
    <n v="18041"/>
    <x v="1"/>
    <n v="1.69"/>
  </r>
  <r>
    <n v="527053"/>
    <n v="22588"/>
    <x v="195"/>
    <x v="5"/>
    <d v="2010-10-14T13:05:00"/>
    <x v="4"/>
    <n v="14343"/>
    <x v="1"/>
    <n v="7.6499999999999995"/>
  </r>
  <r>
    <n v="537153"/>
    <s v="85135B"/>
    <x v="196"/>
    <x v="5"/>
    <d v="2010-12-05T13:03:00"/>
    <x v="2"/>
    <n v="16718"/>
    <x v="1"/>
    <n v="23.85"/>
  </r>
  <r>
    <n v="495158"/>
    <n v="21908"/>
    <x v="197"/>
    <x v="1"/>
    <d v="2010-01-21T12:37:00"/>
    <x v="9"/>
    <n v="13527"/>
    <x v="1"/>
    <n v="2.1"/>
  </r>
  <r>
    <n v="530085"/>
    <s v="85099B"/>
    <x v="198"/>
    <x v="1"/>
    <d v="2010-11-01T13:26:00"/>
    <x v="5"/>
    <n v="17315"/>
    <x v="1"/>
    <n v="1.95"/>
  </r>
  <r>
    <n v="537871"/>
    <n v="22561"/>
    <x v="13"/>
    <x v="2"/>
    <d v="2010-12-08T17:20:00"/>
    <x v="1"/>
    <n v="12748"/>
    <x v="1"/>
    <n v="3.3"/>
  </r>
  <r>
    <n v="521642"/>
    <n v="21976"/>
    <x v="199"/>
    <x v="4"/>
    <d v="2010-09-07T13:04:00"/>
    <x v="29"/>
    <n v="14911"/>
    <x v="0"/>
    <n v="13.200000000000001"/>
  </r>
  <r>
    <n v="502724"/>
    <n v="20685"/>
    <x v="200"/>
    <x v="2"/>
    <d v="2010-03-26T11:26:00"/>
    <x v="10"/>
    <n v="14110"/>
    <x v="1"/>
    <n v="14.98"/>
  </r>
  <r>
    <n v="529156"/>
    <n v="22143"/>
    <x v="201"/>
    <x v="2"/>
    <d v="2010-10-26T16:47:00"/>
    <x v="9"/>
    <n v="16549"/>
    <x v="1"/>
    <n v="4.2"/>
  </r>
  <r>
    <n v="526906"/>
    <n v="84199"/>
    <x v="202"/>
    <x v="1"/>
    <d v="2010-10-13T15:22:00"/>
    <x v="48"/>
    <n v="16120"/>
    <x v="1"/>
    <n v="0.21"/>
  </r>
  <r>
    <n v="519610"/>
    <n v="84077"/>
    <x v="203"/>
    <x v="31"/>
    <d v="2010-08-18T16:54:00"/>
    <x v="48"/>
    <n v="15494"/>
    <x v="1"/>
    <n v="40.32"/>
  </r>
  <r>
    <n v="529842"/>
    <n v="21169"/>
    <x v="204"/>
    <x v="1"/>
    <d v="2010-10-31T12:52:00"/>
    <x v="33"/>
    <n v="15038"/>
    <x v="1"/>
    <n v="1.69"/>
  </r>
  <r>
    <n v="489916"/>
    <s v="16156N"/>
    <x v="205"/>
    <x v="10"/>
    <d v="2009-12-03T10:37:00"/>
    <x v="17"/>
    <n v="15194"/>
    <x v="1"/>
    <n v="10.5"/>
  </r>
  <r>
    <n v="490142"/>
    <n v="37503"/>
    <x v="206"/>
    <x v="0"/>
    <d v="2009-12-04T08:36:00"/>
    <x v="49"/>
    <n v="14258"/>
    <x v="1"/>
    <n v="64.5"/>
  </r>
  <r>
    <n v="525009"/>
    <n v="22578"/>
    <x v="207"/>
    <x v="5"/>
    <d v="2010-10-03T10:50:00"/>
    <x v="11"/>
    <n v="15164"/>
    <x v="1"/>
    <n v="2.5499999999999998"/>
  </r>
  <r>
    <n v="531359"/>
    <n v="22905"/>
    <x v="208"/>
    <x v="2"/>
    <d v="2010-11-07T14:17:00"/>
    <x v="0"/>
    <n v="13276"/>
    <x v="1"/>
    <n v="5.9"/>
  </r>
  <r>
    <n v="508864"/>
    <n v="22139"/>
    <x v="86"/>
    <x v="32"/>
    <d v="2010-05-18T16:09:00"/>
    <x v="24"/>
    <n v="17589"/>
    <x v="1"/>
    <n v="74.25"/>
  </r>
  <r>
    <n v="504200"/>
    <s v="85014A"/>
    <x v="209"/>
    <x v="5"/>
    <d v="2010-04-12T11:07:00"/>
    <x v="6"/>
    <n v="14114"/>
    <x v="1"/>
    <n v="17.850000000000001"/>
  </r>
  <r>
    <n v="535412"/>
    <n v="21888"/>
    <x v="96"/>
    <x v="5"/>
    <d v="2010-11-26T11:28:00"/>
    <x v="16"/>
    <n v="16899"/>
    <x v="1"/>
    <n v="11.25"/>
  </r>
  <r>
    <n v="492817"/>
    <n v="22060"/>
    <x v="210"/>
    <x v="0"/>
    <d v="2009-12-20T13:37:00"/>
    <x v="45"/>
    <n v="16593"/>
    <x v="1"/>
    <n v="59.699999999999996"/>
  </r>
  <r>
    <n v="536573"/>
    <n v="22178"/>
    <x v="134"/>
    <x v="6"/>
    <d v="2010-12-01T15:45:00"/>
    <x v="3"/>
    <n v="17025"/>
    <x v="1"/>
    <n v="45"/>
  </r>
  <r>
    <n v="496303"/>
    <n v="85202"/>
    <x v="211"/>
    <x v="5"/>
    <d v="2010-01-31T11:14:00"/>
    <x v="17"/>
    <n v="16923"/>
    <x v="1"/>
    <n v="1.26"/>
  </r>
  <r>
    <n v="517853"/>
    <n v="22367"/>
    <x v="212"/>
    <x v="27"/>
    <d v="2010-08-02T13:45:00"/>
    <x v="5"/>
    <n v="16843"/>
    <x v="1"/>
    <n v="31.2"/>
  </r>
  <r>
    <n v="516536"/>
    <n v="17003"/>
    <x v="213"/>
    <x v="33"/>
    <d v="2010-07-21T11:36:00"/>
    <x v="50"/>
    <n v="16422"/>
    <x v="1"/>
    <n v="115.2"/>
  </r>
  <r>
    <n v="503355"/>
    <n v="21741"/>
    <x v="214"/>
    <x v="3"/>
    <d v="2010-03-31T13:40:00"/>
    <x v="0"/>
    <n v="12913"/>
    <x v="1"/>
    <n v="35.400000000000006"/>
  </r>
  <r>
    <n v="515533"/>
    <n v="21624"/>
    <x v="215"/>
    <x v="1"/>
    <d v="2010-07-13T12:08:00"/>
    <x v="6"/>
    <n v="15719"/>
    <x v="1"/>
    <n v="5.95"/>
  </r>
  <r>
    <n v="490063"/>
    <n v="84937"/>
    <x v="216"/>
    <x v="0"/>
    <d v="2009-12-03T13:49:00"/>
    <x v="9"/>
    <n v="17271"/>
    <x v="1"/>
    <n v="12.600000000000001"/>
  </r>
  <r>
    <n v="526905"/>
    <n v="22583"/>
    <x v="217"/>
    <x v="0"/>
    <d v="2010-10-13T15:17:00"/>
    <x v="4"/>
    <s v="12900"/>
    <x v="1"/>
    <n v="15.299999999999999"/>
  </r>
  <r>
    <n v="523122"/>
    <n v="22384"/>
    <x v="218"/>
    <x v="11"/>
    <d v="2010-09-20T13:09:00"/>
    <x v="1"/>
    <n v="12993"/>
    <x v="1"/>
    <n v="16.5"/>
  </r>
  <r>
    <n v="525857"/>
    <n v="20770"/>
    <x v="219"/>
    <x v="1"/>
    <d v="2010-10-07T13:09:00"/>
    <x v="4"/>
    <n v="17860"/>
    <x v="1"/>
    <n v="2.5499999999999998"/>
  </r>
  <r>
    <n v="528919"/>
    <n v="22669"/>
    <x v="220"/>
    <x v="2"/>
    <d v="2010-10-25T14:27:00"/>
    <x v="0"/>
    <n v="16259"/>
    <x v="1"/>
    <n v="5.9"/>
  </r>
  <r>
    <n v="510058"/>
    <n v="22356"/>
    <x v="221"/>
    <x v="7"/>
    <d v="2010-05-27T10:13:00"/>
    <x v="11"/>
    <n v="14754"/>
    <x v="1"/>
    <n v="3.4"/>
  </r>
  <r>
    <n v="523313"/>
    <n v="22553"/>
    <x v="186"/>
    <x v="3"/>
    <d v="2010-09-21T13:21:00"/>
    <x v="1"/>
    <n v="14936"/>
    <x v="12"/>
    <n v="19.799999999999997"/>
  </r>
  <r>
    <n v="515929"/>
    <n v="22331"/>
    <x v="222"/>
    <x v="8"/>
    <d v="2010-07-15T14:36:00"/>
    <x v="1"/>
    <n v="14084"/>
    <x v="1"/>
    <n v="13.2"/>
  </r>
  <r>
    <n v="509634"/>
    <n v="22482"/>
    <x v="223"/>
    <x v="1"/>
    <d v="2010-05-25T10:23:00"/>
    <x v="3"/>
    <n v="13324"/>
    <x v="1"/>
    <n v="1.25"/>
  </r>
  <r>
    <n v="529342"/>
    <n v="22948"/>
    <x v="101"/>
    <x v="4"/>
    <d v="2010-10-27T16:41:00"/>
    <x v="11"/>
    <n v="18060"/>
    <x v="1"/>
    <n v="20.399999999999999"/>
  </r>
  <r>
    <n v="513555"/>
    <n v="22173"/>
    <x v="224"/>
    <x v="2"/>
    <d v="2010-06-25T13:17:00"/>
    <x v="0"/>
    <n v="13291"/>
    <x v="1"/>
    <n v="5.9"/>
  </r>
  <r>
    <n v="510173"/>
    <n v="22474"/>
    <x v="225"/>
    <x v="7"/>
    <d v="2010-05-27T14:40:00"/>
    <x v="24"/>
    <n v="18257"/>
    <x v="1"/>
    <n v="19.8"/>
  </r>
  <r>
    <n v="521888"/>
    <n v="21937"/>
    <x v="226"/>
    <x v="34"/>
    <d v="2010-09-09T11:43:00"/>
    <x v="4"/>
    <n v="12770"/>
    <x v="14"/>
    <n v="127.49999999999999"/>
  </r>
  <r>
    <n v="511251"/>
    <n v="21126"/>
    <x v="227"/>
    <x v="1"/>
    <d v="2010-06-07T12:37:00"/>
    <x v="3"/>
    <n v="14515"/>
    <x v="1"/>
    <n v="1.25"/>
  </r>
  <r>
    <n v="518219"/>
    <n v="37370"/>
    <x v="228"/>
    <x v="3"/>
    <d v="2010-08-05T13:21:00"/>
    <x v="3"/>
    <n v="16105"/>
    <x v="1"/>
    <n v="15"/>
  </r>
  <r>
    <n v="531804"/>
    <n v="82605"/>
    <x v="229"/>
    <x v="2"/>
    <d v="2010-11-09T16:03:00"/>
    <x v="9"/>
    <n v="14535"/>
    <x v="1"/>
    <n v="4.2"/>
  </r>
  <r>
    <n v="534471"/>
    <s v="17136A"/>
    <x v="230"/>
    <x v="4"/>
    <d v="2010-11-23T10:24:00"/>
    <x v="51"/>
    <n v="17422"/>
    <x v="1"/>
    <n v="1.92"/>
  </r>
  <r>
    <n v="499659"/>
    <n v="21897"/>
    <x v="231"/>
    <x v="1"/>
    <d v="2010-03-01T15:05:00"/>
    <x v="0"/>
    <n v="16731"/>
    <x v="1"/>
    <n v="2.95"/>
  </r>
  <r>
    <s v="C504557"/>
    <n v="84676"/>
    <x v="232"/>
    <x v="35"/>
    <d v="2010-04-14T13:54:00"/>
    <x v="0"/>
    <n v="13407"/>
    <x v="1"/>
    <n v="-8.8500000000000014"/>
  </r>
  <r>
    <n v="525020"/>
    <n v="22663"/>
    <x v="233"/>
    <x v="5"/>
    <d v="2010-10-03T11:53:00"/>
    <x v="5"/>
    <n v="13590"/>
    <x v="1"/>
    <n v="5.85"/>
  </r>
  <r>
    <n v="528705"/>
    <n v="21891"/>
    <x v="234"/>
    <x v="2"/>
    <d v="2010-10-24T13:07:00"/>
    <x v="3"/>
    <n v="13137"/>
    <x v="1"/>
    <n v="2.5"/>
  </r>
  <r>
    <n v="529611"/>
    <n v="22986"/>
    <x v="235"/>
    <x v="10"/>
    <d v="2010-10-29T10:39:00"/>
    <x v="17"/>
    <n v="17690"/>
    <x v="1"/>
    <n v="10.5"/>
  </r>
  <r>
    <n v="522773"/>
    <n v="22334"/>
    <x v="236"/>
    <x v="8"/>
    <d v="2010-09-16T14:34:00"/>
    <x v="1"/>
    <n v="12369"/>
    <x v="15"/>
    <n v="13.2"/>
  </r>
  <r>
    <n v="503241"/>
    <n v="22139"/>
    <x v="86"/>
    <x v="5"/>
    <d v="2010-03-31T09:40:00"/>
    <x v="24"/>
    <n v="14890"/>
    <x v="1"/>
    <n v="14.850000000000001"/>
  </r>
  <r>
    <n v="496944"/>
    <n v="20966"/>
    <x v="237"/>
    <x v="36"/>
    <d v="2010-02-04T17:29:00"/>
    <x v="3"/>
    <n v="14606"/>
    <x v="1"/>
    <n v="1.25"/>
  </r>
  <r>
    <n v="511638"/>
    <n v="21213"/>
    <x v="173"/>
    <x v="2"/>
    <d v="2010-06-09T13:08:00"/>
    <x v="29"/>
    <n v="17346"/>
    <x v="1"/>
    <n v="1.1000000000000001"/>
  </r>
  <r>
    <n v="505725"/>
    <n v="22539"/>
    <x v="238"/>
    <x v="1"/>
    <d v="2010-04-25T13:55:00"/>
    <x v="17"/>
    <n v="14606"/>
    <x v="1"/>
    <n v="0.42"/>
  </r>
  <r>
    <n v="530020"/>
    <n v="35400"/>
    <x v="239"/>
    <x v="1"/>
    <d v="2010-11-01T10:52:00"/>
    <x v="52"/>
    <n v="17975"/>
    <x v="1"/>
    <n v="8.9499999999999993"/>
  </r>
  <r>
    <n v="518663"/>
    <n v="22667"/>
    <x v="240"/>
    <x v="36"/>
    <d v="2010-08-10T14:27:00"/>
    <x v="0"/>
    <n v="14044"/>
    <x v="1"/>
    <n v="2.95"/>
  </r>
  <r>
    <n v="490101"/>
    <s v="35004S"/>
    <x v="241"/>
    <x v="0"/>
    <d v="2009-12-03T16:24:00"/>
    <x v="53"/>
    <n v="14644"/>
    <x v="1"/>
    <n v="38.099999999999994"/>
  </r>
  <r>
    <n v="531271"/>
    <n v="22034"/>
    <x v="242"/>
    <x v="3"/>
    <d v="2010-11-07T11:52:00"/>
    <x v="17"/>
    <n v="16401"/>
    <x v="1"/>
    <n v="5.04"/>
  </r>
  <r>
    <n v="525764"/>
    <n v="22660"/>
    <x v="243"/>
    <x v="2"/>
    <d v="2010-10-07T10:39:00"/>
    <x v="2"/>
    <n v="12511"/>
    <x v="16"/>
    <n v="15.9"/>
  </r>
  <r>
    <n v="494795"/>
    <n v="21314"/>
    <x v="244"/>
    <x v="7"/>
    <d v="2010-01-18T14:14:00"/>
    <x v="9"/>
    <n v="13110"/>
    <x v="1"/>
    <n v="8.4"/>
  </r>
  <r>
    <n v="518428"/>
    <n v="20973"/>
    <x v="245"/>
    <x v="37"/>
    <d v="2010-08-09T10:33:00"/>
    <x v="18"/>
    <n v="12458"/>
    <x v="17"/>
    <n v="15.600000000000001"/>
  </r>
  <r>
    <n v="505056"/>
    <n v="21754"/>
    <x v="246"/>
    <x v="8"/>
    <d v="2010-04-19T14:59:00"/>
    <x v="6"/>
    <n v="14667"/>
    <x v="1"/>
    <n v="47.6"/>
  </r>
  <r>
    <n v="503251"/>
    <n v="21590"/>
    <x v="247"/>
    <x v="4"/>
    <d v="2010-03-31T10:32:00"/>
    <x v="3"/>
    <n v="15754"/>
    <x v="1"/>
    <n v="30"/>
  </r>
  <r>
    <n v="530799"/>
    <n v="21889"/>
    <x v="248"/>
    <x v="28"/>
    <d v="2010-11-04T12:31:00"/>
    <x v="28"/>
    <n v="12497"/>
    <x v="2"/>
    <n v="152.64000000000001"/>
  </r>
  <r>
    <n v="508621"/>
    <n v="21915"/>
    <x v="249"/>
    <x v="3"/>
    <d v="2010-05-17T13:45:00"/>
    <x v="3"/>
    <n v="17442"/>
    <x v="1"/>
    <n v="15"/>
  </r>
  <r>
    <n v="528167"/>
    <n v="21754"/>
    <x v="246"/>
    <x v="5"/>
    <d v="2010-10-21T09:49:00"/>
    <x v="6"/>
    <n v="18247"/>
    <x v="1"/>
    <n v="17.850000000000001"/>
  </r>
  <r>
    <n v="512943"/>
    <s v="84970L"/>
    <x v="250"/>
    <x v="3"/>
    <d v="2010-06-20T14:38:00"/>
    <x v="54"/>
    <n v="17623"/>
    <x v="1"/>
    <n v="11.399999999999999"/>
  </r>
  <r>
    <n v="528102"/>
    <s v="85099B"/>
    <x v="198"/>
    <x v="2"/>
    <d v="2010-10-20T13:40:00"/>
    <x v="5"/>
    <n v="15572"/>
    <x v="1"/>
    <n v="3.9"/>
  </r>
  <r>
    <n v="526845"/>
    <n v="82484"/>
    <x v="11"/>
    <x v="4"/>
    <d v="2010-10-13T12:18:00"/>
    <x v="55"/>
    <n v="17511"/>
    <x v="1"/>
    <n v="133.19999999999999"/>
  </r>
  <r>
    <n v="529156"/>
    <n v="21899"/>
    <x v="251"/>
    <x v="2"/>
    <d v="2010-10-26T16:47:00"/>
    <x v="18"/>
    <n v="16549"/>
    <x v="1"/>
    <n v="1.3"/>
  </r>
  <r>
    <n v="491967"/>
    <n v="22162"/>
    <x v="252"/>
    <x v="8"/>
    <d v="2009-12-14T17:34:00"/>
    <x v="0"/>
    <n v="17012"/>
    <x v="1"/>
    <n v="23.6"/>
  </r>
  <r>
    <n v="495367"/>
    <n v="22173"/>
    <x v="224"/>
    <x v="5"/>
    <d v="2010-01-24T12:27:00"/>
    <x v="0"/>
    <n v="14070"/>
    <x v="1"/>
    <n v="8.8500000000000014"/>
  </r>
  <r>
    <n v="535409"/>
    <n v="22694"/>
    <x v="253"/>
    <x v="0"/>
    <d v="2010-11-26T11:24:00"/>
    <x v="9"/>
    <n v="14507"/>
    <x v="1"/>
    <n v="12.600000000000001"/>
  </r>
  <r>
    <n v="517392"/>
    <s v="85061W"/>
    <x v="254"/>
    <x v="4"/>
    <d v="2010-07-29T09:49:00"/>
    <x v="11"/>
    <n v="16510"/>
    <x v="1"/>
    <n v="20.399999999999999"/>
  </r>
  <r>
    <n v="513763"/>
    <n v="22524"/>
    <x v="255"/>
    <x v="11"/>
    <d v="2010-06-28T13:06:00"/>
    <x v="3"/>
    <n v="12784"/>
    <x v="13"/>
    <n v="12.5"/>
  </r>
  <r>
    <n v="526504"/>
    <s v="82616C"/>
    <x v="256"/>
    <x v="0"/>
    <d v="2010-10-12T10:38:00"/>
    <x v="0"/>
    <n v="15062"/>
    <x v="1"/>
    <n v="17.700000000000003"/>
  </r>
  <r>
    <n v="504373"/>
    <s v="85123A"/>
    <x v="100"/>
    <x v="38"/>
    <d v="2010-04-13T11:04:00"/>
    <x v="0"/>
    <n v="13468"/>
    <x v="1"/>
    <n v="17.700000000000003"/>
  </r>
  <r>
    <n v="519241"/>
    <n v="22201"/>
    <x v="257"/>
    <x v="1"/>
    <d v="2010-08-15T14:01:00"/>
    <x v="25"/>
    <n v="14415"/>
    <x v="1"/>
    <n v="4.25"/>
  </r>
  <r>
    <n v="513594"/>
    <n v="21755"/>
    <x v="258"/>
    <x v="1"/>
    <d v="2010-06-27T10:54:00"/>
    <x v="6"/>
    <n v="16782"/>
    <x v="1"/>
    <n v="5.95"/>
  </r>
  <r>
    <n v="511654"/>
    <n v="22302"/>
    <x v="259"/>
    <x v="0"/>
    <d v="2010-06-09T14:04:00"/>
    <x v="4"/>
    <n v="17971"/>
    <x v="1"/>
    <n v="15.299999999999999"/>
  </r>
  <r>
    <n v="521369"/>
    <s v="72529W"/>
    <x v="23"/>
    <x v="0"/>
    <d v="2010-09-05T11:14:00"/>
    <x v="13"/>
    <n v="16085"/>
    <x v="1"/>
    <n v="12.72"/>
  </r>
  <r>
    <n v="490106"/>
    <s v="72760B"/>
    <x v="260"/>
    <x v="2"/>
    <d v="2009-12-03T16:40:00"/>
    <x v="45"/>
    <n v="14898"/>
    <x v="1"/>
    <n v="19.899999999999999"/>
  </r>
  <r>
    <n v="535423"/>
    <n v="22600"/>
    <x v="261"/>
    <x v="14"/>
    <d v="2010-11-26T11:53:00"/>
    <x v="11"/>
    <n v="17283"/>
    <x v="1"/>
    <n v="17"/>
  </r>
  <r>
    <n v="493964"/>
    <n v="22073"/>
    <x v="262"/>
    <x v="7"/>
    <d v="2010-01-08T16:29:00"/>
    <x v="16"/>
    <n v="12714"/>
    <x v="3"/>
    <n v="15"/>
  </r>
  <r>
    <n v="527423"/>
    <n v="22863"/>
    <x v="263"/>
    <x v="0"/>
    <d v="2010-10-17T16:06:00"/>
    <x v="0"/>
    <n v="14755"/>
    <x v="1"/>
    <n v="17.700000000000003"/>
  </r>
  <r>
    <n v="534765"/>
    <n v="22144"/>
    <x v="264"/>
    <x v="5"/>
    <d v="2010-11-24T10:25:00"/>
    <x v="9"/>
    <n v="15555"/>
    <x v="1"/>
    <n v="6.3000000000000007"/>
  </r>
  <r>
    <n v="501793"/>
    <n v="22111"/>
    <x v="121"/>
    <x v="5"/>
    <d v="2010-03-19T13:32:00"/>
    <x v="24"/>
    <n v="15329"/>
    <x v="1"/>
    <n v="14.850000000000001"/>
  </r>
  <r>
    <n v="496990"/>
    <n v="22411"/>
    <x v="265"/>
    <x v="39"/>
    <d v="2010-02-05T11:22:00"/>
    <x v="1"/>
    <n v="14607"/>
    <x v="1"/>
    <n v="165"/>
  </r>
  <r>
    <n v="500030"/>
    <s v="47570B"/>
    <x v="266"/>
    <x v="1"/>
    <d v="2010-03-04T11:29:00"/>
    <x v="56"/>
    <n v="14527"/>
    <x v="1"/>
    <n v="10.65"/>
  </r>
  <r>
    <s v="C495309"/>
    <n v="21346"/>
    <x v="267"/>
    <x v="13"/>
    <d v="2010-01-22T14:16:00"/>
    <x v="6"/>
    <n v="17243"/>
    <x v="1"/>
    <n v="-5.95"/>
  </r>
  <r>
    <n v="529093"/>
    <n v="82484"/>
    <x v="11"/>
    <x v="0"/>
    <d v="2010-10-26T13:39:00"/>
    <x v="7"/>
    <n v="14911"/>
    <x v="0"/>
    <n v="38.700000000000003"/>
  </r>
  <r>
    <n v="524726"/>
    <n v="85047"/>
    <x v="268"/>
    <x v="5"/>
    <d v="2010-09-30T14:19:00"/>
    <x v="53"/>
    <n v="15736"/>
    <x v="1"/>
    <n v="19.049999999999997"/>
  </r>
  <r>
    <n v="492729"/>
    <n v="21552"/>
    <x v="269"/>
    <x v="1"/>
    <d v="2009-12-18T11:32:00"/>
    <x v="6"/>
    <n v="15911"/>
    <x v="1"/>
    <n v="5.95"/>
  </r>
  <r>
    <n v="525761"/>
    <n v="22145"/>
    <x v="270"/>
    <x v="3"/>
    <d v="2010-10-07T10:37:00"/>
    <x v="9"/>
    <n v="16325"/>
    <x v="1"/>
    <n v="25.200000000000003"/>
  </r>
  <r>
    <n v="528743"/>
    <n v="82483"/>
    <x v="271"/>
    <x v="7"/>
    <d v="2010-10-24T14:16:00"/>
    <x v="6"/>
    <n v="17858"/>
    <x v="1"/>
    <n v="23.8"/>
  </r>
  <r>
    <n v="511041"/>
    <n v="20685"/>
    <x v="200"/>
    <x v="2"/>
    <d v="2010-06-06T11:21:00"/>
    <x v="10"/>
    <n v="12932"/>
    <x v="1"/>
    <n v="14.98"/>
  </r>
  <r>
    <n v="518509"/>
    <s v="84536B"/>
    <x v="272"/>
    <x v="27"/>
    <d v="2010-08-09T14:39:00"/>
    <x v="17"/>
    <n v="14498"/>
    <x v="1"/>
    <n v="6.72"/>
  </r>
  <r>
    <n v="489866"/>
    <s v="84288B"/>
    <x v="273"/>
    <x v="18"/>
    <d v="2009-12-02T15:04:00"/>
    <x v="5"/>
    <n v="16200"/>
    <x v="1"/>
    <n v="23.4"/>
  </r>
  <r>
    <n v="534083"/>
    <n v="22582"/>
    <x v="274"/>
    <x v="7"/>
    <d v="2010-11-21T11:52:00"/>
    <x v="4"/>
    <n v="13668"/>
    <x v="1"/>
    <n v="10.199999999999999"/>
  </r>
  <r>
    <n v="525856"/>
    <n v="22726"/>
    <x v="275"/>
    <x v="1"/>
    <d v="2010-10-07T13:05:00"/>
    <x v="16"/>
    <n v="13569"/>
    <x v="1"/>
    <n v="3.75"/>
  </r>
  <r>
    <n v="512177"/>
    <n v="22492"/>
    <x v="276"/>
    <x v="6"/>
    <d v="2010-06-14T12:01:00"/>
    <x v="18"/>
    <n v="15150"/>
    <x v="1"/>
    <n v="23.400000000000002"/>
  </r>
  <r>
    <n v="504340"/>
    <n v="22217"/>
    <x v="277"/>
    <x v="3"/>
    <d v="2010-04-12T16:50:00"/>
    <x v="3"/>
    <n v="13564"/>
    <x v="1"/>
    <n v="15"/>
  </r>
  <r>
    <n v="507390"/>
    <n v="22358"/>
    <x v="278"/>
    <x v="0"/>
    <d v="2010-05-09T12:18:00"/>
    <x v="0"/>
    <n v="15498"/>
    <x v="1"/>
    <n v="17.700000000000003"/>
  </r>
  <r>
    <n v="498705"/>
    <n v="21843"/>
    <x v="180"/>
    <x v="7"/>
    <d v="2010-02-22T12:44:00"/>
    <x v="46"/>
    <n v="14680"/>
    <x v="1"/>
    <n v="43.8"/>
  </r>
  <r>
    <n v="503543"/>
    <n v="22147"/>
    <x v="279"/>
    <x v="1"/>
    <d v="2010-04-01T14:23:00"/>
    <x v="42"/>
    <n v="17993"/>
    <x v="1"/>
    <n v="1.45"/>
  </r>
  <r>
    <n v="536088"/>
    <n v="22602"/>
    <x v="280"/>
    <x v="40"/>
    <s v="2010-11-30 11:30"/>
    <x v="11"/>
    <n v="16782"/>
    <x v="1"/>
    <n v="7.6499999999999995"/>
  </r>
  <r>
    <n v="530165"/>
    <n v="21790"/>
    <x v="184"/>
    <x v="3"/>
    <d v="2010-11-02T08:49:00"/>
    <x v="11"/>
    <n v="16612"/>
    <x v="1"/>
    <n v="10.199999999999999"/>
  </r>
  <r>
    <n v="522826"/>
    <n v="22457"/>
    <x v="281"/>
    <x v="0"/>
    <d v="2010-09-17T10:16:00"/>
    <x v="0"/>
    <n v="13564"/>
    <x v="1"/>
    <n v="17.700000000000003"/>
  </r>
  <r>
    <n v="498596"/>
    <n v="22080"/>
    <x v="282"/>
    <x v="11"/>
    <d v="2010-02-21T15:58:00"/>
    <x v="1"/>
    <n v="13152"/>
    <x v="1"/>
    <n v="16.5"/>
  </r>
  <r>
    <n v="510737"/>
    <n v="22150"/>
    <x v="283"/>
    <x v="0"/>
    <d v="2010-06-03T11:44:00"/>
    <x v="5"/>
    <n v="16279"/>
    <x v="1"/>
    <n v="11.7"/>
  </r>
  <r>
    <n v="496773"/>
    <s v="85025B"/>
    <x v="284"/>
    <x v="2"/>
    <d v="2010-02-03T15:45:00"/>
    <x v="1"/>
    <n v="15023"/>
    <x v="1"/>
    <n v="3.3"/>
  </r>
  <r>
    <n v="535274"/>
    <n v="22576"/>
    <x v="185"/>
    <x v="12"/>
    <d v="2010-11-25T13:51:00"/>
    <x v="11"/>
    <n v="14415"/>
    <x v="1"/>
    <n v="11.9"/>
  </r>
  <r>
    <n v="532004"/>
    <s v="84997C"/>
    <x v="285"/>
    <x v="2"/>
    <d v="2010-11-10T12:38:00"/>
    <x v="16"/>
    <n v="14177"/>
    <x v="1"/>
    <n v="7.5"/>
  </r>
  <r>
    <n v="529156"/>
    <n v="22575"/>
    <x v="6"/>
    <x v="1"/>
    <d v="2010-10-26T16:47:00"/>
    <x v="5"/>
    <n v="16549"/>
    <x v="1"/>
    <n v="1.95"/>
  </r>
  <r>
    <n v="529213"/>
    <n v="72741"/>
    <x v="286"/>
    <x v="40"/>
    <d v="2010-10-27T10:32:00"/>
    <x v="42"/>
    <n v="15198"/>
    <x v="1"/>
    <n v="13.049999999999999"/>
  </r>
  <r>
    <n v="499236"/>
    <n v="21742"/>
    <x v="287"/>
    <x v="1"/>
    <d v="2010-02-25T13:17:00"/>
    <x v="6"/>
    <n v="13240"/>
    <x v="1"/>
    <n v="5.95"/>
  </r>
  <r>
    <s v=" 496092 "/>
    <n v="84992"/>
    <x v="288"/>
    <x v="4"/>
    <d v="2010-01-29T10:06:00"/>
    <x v="29"/>
    <n v="13085"/>
    <x v="1"/>
    <n v="13.200000000000001"/>
  </r>
  <r>
    <n v="508653"/>
    <s v="84997C"/>
    <x v="289"/>
    <x v="7"/>
    <d v="2010-05-17T15:54:00"/>
    <x v="16"/>
    <n v="17228"/>
    <x v="1"/>
    <n v="15"/>
  </r>
  <r>
    <s v="C490798"/>
    <n v="22352"/>
    <x v="290"/>
    <x v="41"/>
    <d v="2009-12-08T11:51:00"/>
    <x v="4"/>
    <n v="14277"/>
    <x v="3"/>
    <n v="-30.599999999999998"/>
  </r>
  <r>
    <n v="490636"/>
    <n v="82585"/>
    <x v="291"/>
    <x v="7"/>
    <d v="2009-12-07T12:08:00"/>
    <x v="3"/>
    <n v="13564"/>
    <x v="1"/>
    <n v="5"/>
  </r>
  <r>
    <n v="510781"/>
    <n v="21796"/>
    <x v="292"/>
    <x v="1"/>
    <d v="2010-06-03T15:17:00"/>
    <x v="14"/>
    <n v="16892"/>
    <x v="1"/>
    <n v="12.75"/>
  </r>
  <r>
    <n v="521223"/>
    <n v="22411"/>
    <x v="145"/>
    <x v="11"/>
    <d v="2010-09-03T10:43:00"/>
    <x v="5"/>
    <n v="17454"/>
    <x v="1"/>
    <n v="19.5"/>
  </r>
  <r>
    <n v="505443"/>
    <n v="21313"/>
    <x v="293"/>
    <x v="3"/>
    <d v="2010-04-22T10:50:00"/>
    <x v="11"/>
    <n v="13625"/>
    <x v="1"/>
    <n v="10.199999999999999"/>
  </r>
  <r>
    <n v="507445"/>
    <n v="22520"/>
    <x v="294"/>
    <x v="3"/>
    <d v="2010-05-10T09:38:00"/>
    <x v="11"/>
    <n v="14329"/>
    <x v="1"/>
    <n v="10.199999999999999"/>
  </r>
  <r>
    <n v="527740"/>
    <n v="22444"/>
    <x v="295"/>
    <x v="4"/>
    <d v="2010-10-18T15:48:00"/>
    <x v="3"/>
    <n v="14157"/>
    <x v="1"/>
    <n v="30"/>
  </r>
  <r>
    <n v="527819"/>
    <n v="22523"/>
    <x v="296"/>
    <x v="36"/>
    <d v="2010-10-19T11:22:00"/>
    <x v="11"/>
    <s v="16515"/>
    <x v="1"/>
    <n v="0.85"/>
  </r>
  <r>
    <n v="524524"/>
    <n v="22118"/>
    <x v="63"/>
    <x v="2"/>
    <d v="2010-09-29T13:14:00"/>
    <x v="24"/>
    <s v="14514"/>
    <x v="1"/>
    <n v="9.9"/>
  </r>
  <r>
    <n v="518665"/>
    <n v="84950"/>
    <x v="297"/>
    <x v="4"/>
    <d v="2010-08-10T14:43:00"/>
    <x v="11"/>
    <n v="14478"/>
    <x v="1"/>
    <n v="20.399999999999999"/>
  </r>
  <r>
    <n v="507129"/>
    <n v="21034"/>
    <x v="298"/>
    <x v="1"/>
    <d v="2010-05-06T12:15:00"/>
    <x v="54"/>
    <n v="15860"/>
    <x v="1"/>
    <n v="0.95"/>
  </r>
  <r>
    <n v="531374"/>
    <n v="21559"/>
    <x v="299"/>
    <x v="0"/>
    <d v="2010-11-07T15:50:00"/>
    <x v="4"/>
    <n v="13178"/>
    <x v="1"/>
    <n v="15.299999999999999"/>
  </r>
  <r>
    <n v="532337"/>
    <s v="85123A"/>
    <x v="100"/>
    <x v="2"/>
    <d v="2010-11-11T15:49:00"/>
    <x v="0"/>
    <n v="13263"/>
    <x v="1"/>
    <n v="5.9"/>
  </r>
  <r>
    <n v="522334"/>
    <n v="84975"/>
    <x v="300"/>
    <x v="6"/>
    <d v="2010-09-14T09:43:00"/>
    <x v="33"/>
    <s v="13089"/>
    <x v="1"/>
    <n v="60.839999999999996"/>
  </r>
  <r>
    <n v="496058"/>
    <n v="90029"/>
    <x v="301"/>
    <x v="15"/>
    <d v="2010-01-28T15:17:00"/>
    <x v="20"/>
    <n v="17115"/>
    <x v="1"/>
    <n v="42.5"/>
  </r>
  <r>
    <n v="526510"/>
    <n v="21056"/>
    <x v="302"/>
    <x v="7"/>
    <d v="2010-10-12T10:53:00"/>
    <x v="52"/>
    <n v="13299"/>
    <x v="1"/>
    <n v="35.799999999999997"/>
  </r>
  <r>
    <n v="491068"/>
    <n v="21755"/>
    <x v="258"/>
    <x v="7"/>
    <d v="2009-12-09T12:18:00"/>
    <x v="6"/>
    <n v="15768"/>
    <x v="1"/>
    <n v="23.8"/>
  </r>
  <r>
    <n v="526236"/>
    <n v="22068"/>
    <x v="303"/>
    <x v="2"/>
    <d v="2010-10-10T16:08:00"/>
    <x v="1"/>
    <n v="14723"/>
    <x v="1"/>
    <n v="3.3"/>
  </r>
  <r>
    <n v="535946"/>
    <n v="21484"/>
    <x v="304"/>
    <x v="2"/>
    <d v="2010-11-29T11:54:00"/>
    <x v="57"/>
    <n v="17345"/>
    <x v="1"/>
    <n v="6.9"/>
  </r>
  <r>
    <n v="490609"/>
    <n v="21479"/>
    <x v="305"/>
    <x v="5"/>
    <d v="2009-12-07T11:39:00"/>
    <x v="16"/>
    <n v="14037"/>
    <x v="1"/>
    <n v="11.25"/>
  </r>
  <r>
    <n v="520561"/>
    <n v="22625"/>
    <x v="306"/>
    <x v="2"/>
    <d v="2010-08-26T16:46:00"/>
    <x v="20"/>
    <n v="14769"/>
    <x v="1"/>
    <n v="17"/>
  </r>
  <r>
    <n v="515150"/>
    <s v="85231B"/>
    <x v="307"/>
    <x v="4"/>
    <d v="2010-07-08T14:48:00"/>
    <x v="11"/>
    <n v="18279"/>
    <x v="1"/>
    <n v="20.399999999999999"/>
  </r>
  <r>
    <n v="531935"/>
    <n v="22867"/>
    <x v="308"/>
    <x v="4"/>
    <s v="11/10/2010 12:13"/>
    <x v="9"/>
    <n v="15527"/>
    <x v="1"/>
    <n v="50.400000000000006"/>
  </r>
  <r>
    <n v="535803"/>
    <n v="22865"/>
    <x v="309"/>
    <x v="2"/>
    <d v="2010-11-28T14:57:00"/>
    <x v="9"/>
    <n v="14410"/>
    <x v="1"/>
    <n v="4.2"/>
  </r>
  <r>
    <n v="494471"/>
    <n v="21181"/>
    <x v="310"/>
    <x v="3"/>
    <d v="2010-01-14T14:48:00"/>
    <x v="9"/>
    <n v="13680"/>
    <x v="1"/>
    <n v="25.200000000000003"/>
  </r>
  <r>
    <n v="529837"/>
    <n v="22599"/>
    <x v="311"/>
    <x v="0"/>
    <s v="2010-10-31 12:34"/>
    <x v="11"/>
    <n v="16784"/>
    <x v="1"/>
    <n v="5.0999999999999996"/>
  </r>
  <r>
    <n v="532679"/>
    <n v="84754"/>
    <x v="312"/>
    <x v="2"/>
    <d v="2010-11-14T12:17:00"/>
    <x v="3"/>
    <n v="16960"/>
    <x v="1"/>
    <n v="2.5"/>
  </r>
  <r>
    <n v="528989"/>
    <n v="22773"/>
    <x v="313"/>
    <x v="3"/>
    <d v="2010-10-26T11:17:00"/>
    <x v="3"/>
    <n v="14897"/>
    <x v="1"/>
    <n v="15"/>
  </r>
  <r>
    <n v="498303"/>
    <n v="21931"/>
    <x v="314"/>
    <x v="11"/>
    <d v="2010-02-18T09:31:00"/>
    <x v="5"/>
    <n v="15640"/>
    <x v="1"/>
    <n v="19.5"/>
  </r>
  <r>
    <n v="522331"/>
    <n v="21519"/>
    <x v="315"/>
    <x v="3"/>
    <d v="2010-09-14T09:05:00"/>
    <x v="17"/>
    <n v="15639"/>
    <x v="1"/>
    <n v="5.04"/>
  </r>
  <r>
    <n v="517712"/>
    <s v="85232A"/>
    <x v="316"/>
    <x v="0"/>
    <d v="2010-08-01T11:17:00"/>
    <x v="24"/>
    <n v="13564"/>
    <x v="1"/>
    <n v="29.700000000000003"/>
  </r>
  <r>
    <n v="513335"/>
    <s v="48173C"/>
    <x v="317"/>
    <x v="2"/>
    <d v="2010-06-24T09:49:00"/>
    <x v="10"/>
    <n v="17686"/>
    <x v="1"/>
    <n v="14.98"/>
  </r>
  <r>
    <n v="515910"/>
    <n v="22703"/>
    <x v="168"/>
    <x v="0"/>
    <d v="2010-07-15T13:17:00"/>
    <x v="8"/>
    <n v="14298"/>
    <x v="1"/>
    <n v="11.100000000000001"/>
  </r>
  <r>
    <n v="529994"/>
    <s v="84926D"/>
    <x v="318"/>
    <x v="4"/>
    <d v="2010-10-31T16:26:00"/>
    <x v="3"/>
    <n v="16984"/>
    <x v="1"/>
    <n v="30"/>
  </r>
  <r>
    <n v="492445"/>
    <s v="85123A"/>
    <x v="100"/>
    <x v="42"/>
    <d v="2009-12-17T11:07:00"/>
    <x v="4"/>
    <n v="17230"/>
    <x v="1"/>
    <n v="81.599999999999994"/>
  </r>
  <r>
    <n v="513568"/>
    <n v="21928"/>
    <x v="319"/>
    <x v="14"/>
    <d v="2010-06-25T14:23:00"/>
    <x v="5"/>
    <n v="12921"/>
    <x v="1"/>
    <n v="39"/>
  </r>
  <r>
    <n v="534238"/>
    <n v="22154"/>
    <x v="320"/>
    <x v="23"/>
    <d v="2010-11-22T10:41:00"/>
    <x v="17"/>
    <n v="17730"/>
    <x v="1"/>
    <n v="20.16"/>
  </r>
  <r>
    <n v="524268"/>
    <n v="21754"/>
    <x v="246"/>
    <x v="40"/>
    <d v="2010-09-28T11:47:00"/>
    <x v="6"/>
    <n v="17975"/>
    <x v="1"/>
    <n v="53.550000000000004"/>
  </r>
  <r>
    <n v="533838"/>
    <n v="22739"/>
    <x v="321"/>
    <x v="11"/>
    <d v="2010-11-19T10:57:00"/>
    <x v="1"/>
    <n v="13662"/>
    <x v="1"/>
    <n v="16.5"/>
  </r>
  <r>
    <n v="515420"/>
    <s v="84673B"/>
    <x v="322"/>
    <x v="5"/>
    <d v="2010-07-12T13:15:00"/>
    <x v="18"/>
    <n v="17365"/>
    <x v="1"/>
    <n v="1.9500000000000002"/>
  </r>
  <r>
    <n v="531010"/>
    <n v="21282"/>
    <x v="323"/>
    <x v="4"/>
    <d v="2010-11-05T11:42:00"/>
    <x v="16"/>
    <n v="12406"/>
    <x v="8"/>
    <n v="90"/>
  </r>
  <r>
    <n v="535349"/>
    <n v="22030"/>
    <x v="324"/>
    <x v="3"/>
    <d v="2010-11-25T16:52:00"/>
    <x v="17"/>
    <n v="18245"/>
    <x v="1"/>
    <n v="5.04"/>
  </r>
  <r>
    <n v="521205"/>
    <n v="21988"/>
    <x v="325"/>
    <x v="1"/>
    <d v="2010-09-02T18:22:00"/>
    <x v="11"/>
    <n v="17324"/>
    <x v="1"/>
    <n v="0.85"/>
  </r>
  <r>
    <n v="516950"/>
    <n v="22149"/>
    <x v="326"/>
    <x v="2"/>
    <d v="2010-07-25T15:38:00"/>
    <x v="9"/>
    <n v="13276"/>
    <x v="1"/>
    <n v="4.2"/>
  </r>
  <r>
    <n v="528648"/>
    <n v="22417"/>
    <x v="327"/>
    <x v="1"/>
    <d v="2010-10-24T12:39:00"/>
    <x v="29"/>
    <n v="16445"/>
    <x v="1"/>
    <n v="0.55000000000000004"/>
  </r>
  <r>
    <n v="507179"/>
    <n v="22328"/>
    <x v="328"/>
    <x v="19"/>
    <d v="2010-05-06T15:24:00"/>
    <x v="4"/>
    <n v="14646"/>
    <x v="9"/>
    <n v="244.79999999999998"/>
  </r>
  <r>
    <n v="520716"/>
    <n v="21737"/>
    <x v="329"/>
    <x v="1"/>
    <d v="2010-08-29T14:03:00"/>
    <x v="58"/>
    <n v="15722"/>
    <x v="1"/>
    <n v="19.95"/>
  </r>
  <r>
    <n v="505845"/>
    <n v="22072"/>
    <x v="330"/>
    <x v="7"/>
    <d v="2010-04-26T12:02:00"/>
    <x v="16"/>
    <n v="16756"/>
    <x v="1"/>
    <n v="15"/>
  </r>
  <r>
    <n v="511522"/>
    <n v="21155"/>
    <x v="331"/>
    <x v="7"/>
    <d v="2010-06-08T16:47:00"/>
    <x v="9"/>
    <n v="16072"/>
    <x v="1"/>
    <n v="8.4"/>
  </r>
  <r>
    <n v="532016"/>
    <n v="22112"/>
    <x v="139"/>
    <x v="1"/>
    <d v="2010-11-10T12:54:00"/>
    <x v="24"/>
    <s v="17756"/>
    <x v="1"/>
    <n v="4.95"/>
  </r>
  <r>
    <n v="515906"/>
    <n v="21016"/>
    <x v="332"/>
    <x v="5"/>
    <d v="2010-07-15T12:59:00"/>
    <x v="11"/>
    <n v="12748"/>
    <x v="1"/>
    <n v="2.5499999999999998"/>
  </r>
  <r>
    <n v="513543"/>
    <n v="21929"/>
    <x v="333"/>
    <x v="11"/>
    <d v="2010-06-25T12:05:00"/>
    <x v="5"/>
    <n v="14648"/>
    <x v="1"/>
    <n v="19.5"/>
  </r>
  <r>
    <n v="502280"/>
    <s v="46000M"/>
    <x v="334"/>
    <x v="3"/>
    <d v="2010-03-23T16:45:00"/>
    <x v="59"/>
    <n v="14156"/>
    <x v="0"/>
    <n v="18.600000000000001"/>
  </r>
  <r>
    <n v="520084"/>
    <n v="22644"/>
    <x v="335"/>
    <x v="3"/>
    <d v="2010-08-24T10:45:00"/>
    <x v="42"/>
    <n v="12915"/>
    <x v="1"/>
    <n v="17.399999999999999"/>
  </r>
  <r>
    <n v="494644"/>
    <n v="21381"/>
    <x v="336"/>
    <x v="2"/>
    <d v="2010-01-17T12:12:00"/>
    <x v="33"/>
    <n v="16595"/>
    <x v="1"/>
    <n v="3.38"/>
  </r>
  <r>
    <n v="498238"/>
    <n v="21232"/>
    <x v="337"/>
    <x v="7"/>
    <d v="2010-02-17T14:35:00"/>
    <x v="60"/>
    <n v="15768"/>
    <x v="1"/>
    <n v="5"/>
  </r>
  <r>
    <n v="501718"/>
    <n v="22224"/>
    <x v="338"/>
    <x v="0"/>
    <d v="2010-03-19T10:40:00"/>
    <x v="0"/>
    <n v="15325"/>
    <x v="1"/>
    <n v="17.700000000000003"/>
  </r>
  <r>
    <n v="502758"/>
    <n v="21928"/>
    <x v="319"/>
    <x v="39"/>
    <d v="2010-03-26T13:45:00"/>
    <x v="1"/>
    <n v="14646"/>
    <x v="9"/>
    <n v="165"/>
  </r>
  <r>
    <n v="534822"/>
    <n v="21591"/>
    <x v="339"/>
    <x v="2"/>
    <d v="2010-11-24T12:54:00"/>
    <x v="3"/>
    <n v="12970"/>
    <x v="1"/>
    <n v="2.5"/>
  </r>
  <r>
    <n v="537773"/>
    <n v="20764"/>
    <x v="340"/>
    <x v="1"/>
    <d v="2010-12-08T12:36:00"/>
    <x v="16"/>
    <n v="16016"/>
    <x v="1"/>
    <n v="3.75"/>
  </r>
  <r>
    <n v="491113"/>
    <n v="21068"/>
    <x v="341"/>
    <x v="2"/>
    <d v="2009-12-09T14:48:00"/>
    <x v="3"/>
    <n v="14505"/>
    <x v="1"/>
    <n v="2.5"/>
  </r>
  <r>
    <n v="504139"/>
    <n v="21976"/>
    <x v="199"/>
    <x v="5"/>
    <d v="2010-04-11T12:37:00"/>
    <x v="29"/>
    <n v="17769"/>
    <x v="1"/>
    <n v="1.6500000000000001"/>
  </r>
  <r>
    <n v="494473"/>
    <n v="21697"/>
    <x v="342"/>
    <x v="3"/>
    <d v="2010-01-14T14:53:00"/>
    <x v="33"/>
    <n v="17508"/>
    <x v="16"/>
    <n v="20.28"/>
  </r>
  <r>
    <n v="535465"/>
    <n v="22866"/>
    <x v="343"/>
    <x v="1"/>
    <d v="2010-11-26T13:22:00"/>
    <x v="9"/>
    <n v="16254"/>
    <x v="1"/>
    <n v="2.1"/>
  </r>
  <r>
    <n v="506572"/>
    <s v="85061W"/>
    <x v="254"/>
    <x v="7"/>
    <d v="2010-04-30T13:10:00"/>
    <x v="11"/>
    <n v="16374"/>
    <x v="1"/>
    <n v="3.4"/>
  </r>
  <r>
    <n v="535748"/>
    <n v="90096"/>
    <x v="344"/>
    <x v="1"/>
    <d v="2010-11-28T13:21:00"/>
    <x v="4"/>
    <n v="14508"/>
    <x v="1"/>
    <n v="2.5499999999999998"/>
  </r>
  <r>
    <n v="497808"/>
    <n v="84212"/>
    <x v="345"/>
    <x v="43"/>
    <d v="2010-02-12T14:31:00"/>
    <x v="18"/>
    <n v="17226"/>
    <x v="1"/>
    <n v="39"/>
  </r>
  <r>
    <n v="514344"/>
    <n v="79000"/>
    <x v="346"/>
    <x v="4"/>
    <d v="2010-07-01T15:08:00"/>
    <x v="11"/>
    <n v="14540"/>
    <x v="1"/>
    <n v="20.399999999999999"/>
  </r>
  <r>
    <n v="513335"/>
    <n v="22061"/>
    <x v="347"/>
    <x v="7"/>
    <d v="2010-06-24T09:49:00"/>
    <x v="45"/>
    <n v="17686"/>
    <x v="1"/>
    <n v="39.799999999999997"/>
  </r>
  <r>
    <n v="534109"/>
    <n v="21934"/>
    <x v="348"/>
    <x v="11"/>
    <d v="2010-11-21T12:09:00"/>
    <x v="1"/>
    <n v="14293"/>
    <x v="1"/>
    <n v="16.5"/>
  </r>
  <r>
    <n v="532665"/>
    <n v="22632"/>
    <x v="349"/>
    <x v="1"/>
    <d v="2010-11-14T11:37:00"/>
    <x v="9"/>
    <n v="14052"/>
    <x v="1"/>
    <n v="2.1"/>
  </r>
  <r>
    <n v="533736"/>
    <n v="21892"/>
    <x v="52"/>
    <x v="1"/>
    <d v="2010-11-18T13:51:00"/>
    <x v="3"/>
    <n v="16089"/>
    <x v="1"/>
    <n v="1.25"/>
  </r>
  <r>
    <n v="521791"/>
    <n v="22465"/>
    <x v="350"/>
    <x v="0"/>
    <d v="2010-09-08T13:30:00"/>
    <x v="1"/>
    <n v="14667"/>
    <x v="1"/>
    <n v="9.8999999999999986"/>
  </r>
  <r>
    <n v="511310"/>
    <n v="22431"/>
    <x v="351"/>
    <x v="1"/>
    <d v="2010-06-07T16:08:00"/>
    <x v="5"/>
    <n v="17784"/>
    <x v="1"/>
    <n v="1.95"/>
  </r>
  <r>
    <n v="537136"/>
    <n v="21351"/>
    <x v="352"/>
    <x v="20"/>
    <d v="2010-12-05T12:42:00"/>
    <x v="6"/>
    <n v="12748"/>
    <x v="1"/>
    <n v="107.10000000000001"/>
  </r>
  <r>
    <n v="534216"/>
    <n v="84380"/>
    <x v="79"/>
    <x v="1"/>
    <d v="2010-11-21T16:08:00"/>
    <x v="3"/>
    <n v="14606"/>
    <x v="1"/>
    <n v="1.25"/>
  </r>
  <r>
    <n v="514797"/>
    <n v="22127"/>
    <x v="353"/>
    <x v="44"/>
    <d v="2010-07-06T10:37:00"/>
    <x v="28"/>
    <n v="16422"/>
    <x v="1"/>
    <n v="127.2"/>
  </r>
  <r>
    <n v="536782"/>
    <n v="22077"/>
    <x v="137"/>
    <x v="3"/>
    <d v="2010-12-02T15:18:00"/>
    <x v="1"/>
    <n v="17567"/>
    <x v="1"/>
    <n v="19.799999999999997"/>
  </r>
  <r>
    <n v="532799"/>
    <n v="21707"/>
    <x v="354"/>
    <x v="2"/>
    <d v="2010-11-14T14:49:00"/>
    <x v="24"/>
    <n v="14599"/>
    <x v="18"/>
    <n v="9.9"/>
  </r>
  <r>
    <n v="512725"/>
    <n v="22482"/>
    <x v="223"/>
    <x v="1"/>
    <d v="2010-06-17T13:09:00"/>
    <x v="3"/>
    <n v="14508"/>
    <x v="1"/>
    <n v="1.25"/>
  </r>
  <r>
    <n v="527657"/>
    <s v="84029E"/>
    <x v="355"/>
    <x v="7"/>
    <d v="2010-10-18T14:12:00"/>
    <x v="16"/>
    <n v="16141"/>
    <x v="1"/>
    <n v="15"/>
  </r>
  <r>
    <n v="492358"/>
    <s v="72802C"/>
    <x v="356"/>
    <x v="0"/>
    <d v="2009-12-16T13:22:00"/>
    <x v="25"/>
    <n v="16779"/>
    <x v="1"/>
    <n v="25.5"/>
  </r>
  <r>
    <n v="501280"/>
    <n v="20652"/>
    <x v="357"/>
    <x v="1"/>
    <d v="2010-03-15T14:13:00"/>
    <x v="3"/>
    <n v="17841"/>
    <x v="1"/>
    <n v="1.25"/>
  </r>
  <r>
    <n v="497742"/>
    <n v="22063"/>
    <x v="358"/>
    <x v="45"/>
    <d v="2010-02-12T10:45:00"/>
    <x v="4"/>
    <n v="16029"/>
    <x v="1"/>
    <n v="183.6"/>
  </r>
  <r>
    <n v="524152"/>
    <n v="22589"/>
    <x v="359"/>
    <x v="3"/>
    <d v="2010-09-27T15:43:00"/>
    <x v="4"/>
    <n v="15270"/>
    <x v="1"/>
    <n v="30.599999999999998"/>
  </r>
  <r>
    <n v="489514"/>
    <n v="21955"/>
    <x v="360"/>
    <x v="11"/>
    <d v="2009-12-01T11:21:00"/>
    <x v="6"/>
    <n v="15311"/>
    <x v="1"/>
    <n v="59.5"/>
  </r>
  <r>
    <n v="524421"/>
    <n v="21445"/>
    <x v="361"/>
    <x v="3"/>
    <d v="2010-09-29T10:26:00"/>
    <x v="3"/>
    <n v="13804"/>
    <x v="1"/>
    <n v="15"/>
  </r>
  <r>
    <n v="507889"/>
    <n v="21915"/>
    <x v="249"/>
    <x v="3"/>
    <d v="2010-05-11T16:35:00"/>
    <x v="3"/>
    <n v="15862"/>
    <x v="1"/>
    <n v="15"/>
  </r>
  <r>
    <n v="534517"/>
    <n v="22350"/>
    <x v="362"/>
    <x v="0"/>
    <d v="2010-11-23T12:01:00"/>
    <x v="4"/>
    <n v="16229"/>
    <x v="1"/>
    <n v="15.299999999999999"/>
  </r>
  <r>
    <n v="503348"/>
    <n v="21099"/>
    <x v="363"/>
    <x v="2"/>
    <d v="2010-03-31T13:29:00"/>
    <x v="18"/>
    <n v="15800"/>
    <x v="1"/>
    <n v="1.3"/>
  </r>
  <r>
    <n v="514993"/>
    <n v="21231"/>
    <x v="364"/>
    <x v="0"/>
    <d v="2010-07-07T14:32:00"/>
    <x v="3"/>
    <n v="13593"/>
    <x v="1"/>
    <n v="7.5"/>
  </r>
  <r>
    <n v="510488"/>
    <n v="21623"/>
    <x v="365"/>
    <x v="2"/>
    <d v="2010-06-01T12:00:00"/>
    <x v="45"/>
    <s v="18226"/>
    <x v="1"/>
    <n v="19.899999999999999"/>
  </r>
  <r>
    <n v="516158"/>
    <n v="21825"/>
    <x v="366"/>
    <x v="4"/>
    <d v="2010-07-18T11:49:00"/>
    <x v="42"/>
    <n v="16950"/>
    <x v="1"/>
    <n v="34.799999999999997"/>
  </r>
  <r>
    <n v="527053"/>
    <n v="21212"/>
    <x v="367"/>
    <x v="2"/>
    <d v="2010-10-14T13:05:00"/>
    <x v="29"/>
    <n v="14343"/>
    <x v="1"/>
    <n v="1.1000000000000001"/>
  </r>
  <r>
    <n v="532336"/>
    <n v="21181"/>
    <x v="368"/>
    <x v="3"/>
    <d v="2010-11-11T15:47:00"/>
    <x v="9"/>
    <n v="16471"/>
    <x v="1"/>
    <n v="25.200000000000003"/>
  </r>
  <r>
    <n v="519539"/>
    <n v="22423"/>
    <x v="369"/>
    <x v="11"/>
    <d v="2010-08-18T10:33:00"/>
    <x v="14"/>
    <n v="15268"/>
    <x v="1"/>
    <n v="127.5"/>
  </r>
  <r>
    <n v="523005"/>
    <n v="20771"/>
    <x v="370"/>
    <x v="1"/>
    <d v="2010-09-19T16:20:00"/>
    <x v="4"/>
    <n v="12748"/>
    <x v="1"/>
    <n v="2.5499999999999998"/>
  </r>
  <r>
    <n v="535953"/>
    <s v="84997C"/>
    <x v="285"/>
    <x v="2"/>
    <d v="2010-11-29T12:13:00"/>
    <x v="16"/>
    <n v="15039"/>
    <x v="1"/>
    <n v="7.5"/>
  </r>
  <r>
    <n v="522134"/>
    <n v="20738"/>
    <x v="371"/>
    <x v="39"/>
    <d v="2010-09-13T10:01:00"/>
    <x v="11"/>
    <n v="16013"/>
    <x v="1"/>
    <n v="85"/>
  </r>
  <r>
    <n v="489830"/>
    <n v="21154"/>
    <x v="372"/>
    <x v="2"/>
    <d v="2009-12-02T13:57:00"/>
    <x v="3"/>
    <n v="13623"/>
    <x v="1"/>
    <n v="2.5"/>
  </r>
  <r>
    <n v="530998"/>
    <s v="79192A"/>
    <x v="373"/>
    <x v="2"/>
    <d v="2010-11-05T11:17:00"/>
    <x v="3"/>
    <n v="15034"/>
    <x v="1"/>
    <n v="2.5"/>
  </r>
  <r>
    <n v="533783"/>
    <n v="22188"/>
    <x v="374"/>
    <x v="7"/>
    <d v="2010-11-18T16:33:00"/>
    <x v="39"/>
    <n v="18160"/>
    <x v="1"/>
    <n v="15.8"/>
  </r>
  <r>
    <n v="520861"/>
    <n v="21488"/>
    <x v="375"/>
    <x v="1"/>
    <d v="2010-08-31T13:57:00"/>
    <x v="39"/>
    <n v="13714"/>
    <x v="1"/>
    <n v="3.95"/>
  </r>
  <r>
    <n v="527777"/>
    <n v="22847"/>
    <x v="376"/>
    <x v="2"/>
    <d v="2010-10-19T11:01:00"/>
    <x v="36"/>
    <n v="12476"/>
    <x v="2"/>
    <n v="33.9"/>
  </r>
  <r>
    <n v="496644"/>
    <n v="21944"/>
    <x v="377"/>
    <x v="1"/>
    <d v="2010-02-03T11:58:00"/>
    <x v="11"/>
    <n v="15003"/>
    <x v="1"/>
    <n v="0.85"/>
  </r>
  <r>
    <n v="506754"/>
    <n v="20723"/>
    <x v="378"/>
    <x v="11"/>
    <d v="2010-05-04T11:51:00"/>
    <x v="11"/>
    <n v="14110"/>
    <x v="1"/>
    <n v="8.5"/>
  </r>
  <r>
    <n v="520207"/>
    <n v="21054"/>
    <x v="379"/>
    <x v="2"/>
    <d v="2010-08-24T16:14:00"/>
    <x v="52"/>
    <n v="15666"/>
    <x v="1"/>
    <n v="17.899999999999999"/>
  </r>
  <r>
    <n v="526906"/>
    <n v="22553"/>
    <x v="186"/>
    <x v="1"/>
    <d v="2010-10-13T15:22:00"/>
    <x v="1"/>
    <n v="16120"/>
    <x v="1"/>
    <n v="1.65"/>
  </r>
  <r>
    <n v="522276"/>
    <n v="22023"/>
    <x v="380"/>
    <x v="4"/>
    <d v="2010-09-13T12:47:00"/>
    <x v="61"/>
    <n v="15061"/>
    <x v="1"/>
    <n v="8.64"/>
  </r>
  <r>
    <n v="536182"/>
    <n v="22600"/>
    <x v="261"/>
    <x v="3"/>
    <d v="2010-11-30T12:25:00"/>
    <x v="11"/>
    <n v="18260"/>
    <x v="1"/>
    <n v="10.199999999999999"/>
  </r>
  <r>
    <n v="525401"/>
    <n v="20972"/>
    <x v="381"/>
    <x v="4"/>
    <d v="2010-10-05T11:52:00"/>
    <x v="3"/>
    <n v="14844"/>
    <x v="1"/>
    <n v="30"/>
  </r>
  <r>
    <n v="534788"/>
    <n v="21561"/>
    <x v="382"/>
    <x v="1"/>
    <d v="2010-11-24T11:25:00"/>
    <x v="4"/>
    <n v="16782"/>
    <x v="1"/>
    <n v="2.5499999999999998"/>
  </r>
  <r>
    <n v="509743"/>
    <s v="84078A"/>
    <x v="383"/>
    <x v="7"/>
    <d v="2010-05-25T13:21:00"/>
    <x v="62"/>
    <n v="17841"/>
    <x v="1"/>
    <n v="139.80000000000001"/>
  </r>
  <r>
    <n v="498104"/>
    <n v="22348"/>
    <x v="384"/>
    <x v="7"/>
    <d v="2010-02-16T13:49:00"/>
    <x v="11"/>
    <n v="13503"/>
    <x v="1"/>
    <n v="3.4"/>
  </r>
  <r>
    <n v="500639"/>
    <n v="21210"/>
    <x v="385"/>
    <x v="3"/>
    <d v="2010-03-09T10:53:00"/>
    <x v="42"/>
    <n v="12495"/>
    <x v="19"/>
    <n v="17.399999999999999"/>
  </r>
  <r>
    <n v="534030"/>
    <n v="84050"/>
    <x v="386"/>
    <x v="0"/>
    <d v="2010-11-19T15:13:00"/>
    <x v="1"/>
    <n v="12721"/>
    <x v="3"/>
    <n v="9.8999999999999986"/>
  </r>
  <r>
    <n v="522273"/>
    <n v="21174"/>
    <x v="387"/>
    <x v="1"/>
    <d v="2010-09-13T12:41:00"/>
    <x v="5"/>
    <n v="16470"/>
    <x v="1"/>
    <n v="1.95"/>
  </r>
  <r>
    <n v="507647"/>
    <s v="62094B"/>
    <x v="388"/>
    <x v="10"/>
    <d v="2010-05-10T15:46:00"/>
    <x v="11"/>
    <n v="18275"/>
    <x v="1"/>
    <n v="21.25"/>
  </r>
  <r>
    <n v="514839"/>
    <n v="21621"/>
    <x v="389"/>
    <x v="14"/>
    <d v="2010-07-06T14:46:00"/>
    <x v="20"/>
    <n v="16126"/>
    <x v="1"/>
    <n v="170"/>
  </r>
  <r>
    <n v="492517"/>
    <n v="20702"/>
    <x v="390"/>
    <x v="5"/>
    <d v="2009-12-17T11:59:00"/>
    <x v="25"/>
    <n v="17612"/>
    <x v="1"/>
    <n v="12.75"/>
  </r>
  <r>
    <n v="495244"/>
    <n v="22046"/>
    <x v="391"/>
    <x v="10"/>
    <d v="2010-01-22T10:51:00"/>
    <x v="17"/>
    <n v="15179"/>
    <x v="1"/>
    <n v="10.5"/>
  </r>
  <r>
    <n v="526575"/>
    <s v="72760B"/>
    <x v="260"/>
    <x v="2"/>
    <d v="2010-10-12T11:48:00"/>
    <x v="45"/>
    <n v="16126"/>
    <x v="1"/>
    <n v="19.899999999999999"/>
  </r>
  <r>
    <n v="532764"/>
    <s v="84032A"/>
    <x v="392"/>
    <x v="1"/>
    <d v="2010-11-14T14:07:00"/>
    <x v="0"/>
    <n v="14684"/>
    <x v="1"/>
    <n v="2.95"/>
  </r>
  <r>
    <n v="524099"/>
    <n v="22312"/>
    <x v="393"/>
    <x v="5"/>
    <d v="2010-09-27T12:24:00"/>
    <x v="0"/>
    <n v="13448"/>
    <x v="1"/>
    <n v="8.8500000000000014"/>
  </r>
  <r>
    <n v="530763"/>
    <n v="22553"/>
    <x v="186"/>
    <x v="3"/>
    <d v="2010-11-04T11:59:00"/>
    <x v="1"/>
    <n v="15379"/>
    <x v="1"/>
    <n v="19.799999999999997"/>
  </r>
  <r>
    <n v="520885"/>
    <n v="21731"/>
    <x v="59"/>
    <x v="1"/>
    <d v="2010-08-31T16:21:00"/>
    <x v="40"/>
    <n v="14040"/>
    <x v="1"/>
    <n v="1.65"/>
  </r>
  <r>
    <n v="506578"/>
    <n v="21578"/>
    <x v="394"/>
    <x v="3"/>
    <d v="2010-04-30T13:52:00"/>
    <x v="63"/>
    <n v="12708"/>
    <x v="2"/>
    <n v="27"/>
  </r>
  <r>
    <n v="492153"/>
    <s v="85231B"/>
    <x v="307"/>
    <x v="7"/>
    <d v="2009-12-15T14:30:00"/>
    <x v="26"/>
    <n v="17797"/>
    <x v="1"/>
    <n v="3.4"/>
  </r>
  <r>
    <n v="508721"/>
    <n v="21427"/>
    <x v="395"/>
    <x v="5"/>
    <d v="2010-05-17T17:24:00"/>
    <x v="9"/>
    <n v="14606"/>
    <x v="1"/>
    <n v="6.3000000000000007"/>
  </r>
  <r>
    <n v="507420"/>
    <n v="21645"/>
    <x v="396"/>
    <x v="1"/>
    <d v="2010-05-09T15:06:00"/>
    <x v="1"/>
    <n v="12748"/>
    <x v="1"/>
    <n v="1.65"/>
  </r>
  <r>
    <n v="534164"/>
    <n v="22910"/>
    <x v="397"/>
    <x v="2"/>
    <d v="2010-11-21T13:13:00"/>
    <x v="0"/>
    <n v="16241"/>
    <x v="1"/>
    <n v="5.9"/>
  </r>
  <r>
    <n v="537850"/>
    <s v="62096A"/>
    <x v="398"/>
    <x v="0"/>
    <d v="2010-12-08T15:38:00"/>
    <x v="3"/>
    <n v="16722"/>
    <x v="1"/>
    <n v="7.5"/>
  </r>
  <r>
    <n v="503060"/>
    <n v="21260"/>
    <x v="142"/>
    <x v="2"/>
    <d v="2010-03-29T16:28:00"/>
    <x v="21"/>
    <n v="13412"/>
    <x v="1"/>
    <n v="6.5"/>
  </r>
  <r>
    <n v="521898"/>
    <n v="22112"/>
    <x v="139"/>
    <x v="2"/>
    <d v="2010-09-09T12:24:00"/>
    <x v="24"/>
    <n v="17243"/>
    <x v="1"/>
    <n v="9.9"/>
  </r>
  <r>
    <n v="509865"/>
    <n v="47566"/>
    <x v="29"/>
    <x v="46"/>
    <d v="2010-05-26T10:29:00"/>
    <x v="15"/>
    <n v="16844"/>
    <x v="1"/>
    <n v="23.25"/>
  </r>
  <r>
    <n v="510443"/>
    <n v="21577"/>
    <x v="399"/>
    <x v="1"/>
    <d v="2010-05-30T15:27:00"/>
    <x v="63"/>
    <n v="14606"/>
    <x v="1"/>
    <n v="2.25"/>
  </r>
  <r>
    <n v="532325"/>
    <n v="22112"/>
    <x v="139"/>
    <x v="5"/>
    <d v="2010-11-11T15:25:00"/>
    <x v="24"/>
    <n v="16735"/>
    <x v="1"/>
    <n v="14.850000000000001"/>
  </r>
  <r>
    <n v="506258"/>
    <n v="22090"/>
    <x v="400"/>
    <x v="0"/>
    <d v="2010-04-28T14:25:00"/>
    <x v="0"/>
    <n v="15738"/>
    <x v="1"/>
    <n v="17.700000000000003"/>
  </r>
  <r>
    <n v="526217"/>
    <s v="84563A"/>
    <x v="401"/>
    <x v="1"/>
    <d v="2010-10-10T14:30:00"/>
    <x v="6"/>
    <n v="14390"/>
    <x v="1"/>
    <n v="5.95"/>
  </r>
  <r>
    <n v="497235"/>
    <n v="21621"/>
    <x v="389"/>
    <x v="2"/>
    <d v="2010-02-08T10:11:00"/>
    <x v="20"/>
    <n v="18223"/>
    <x v="1"/>
    <n v="17"/>
  </r>
  <r>
    <n v="497808"/>
    <n v="22030"/>
    <x v="324"/>
    <x v="3"/>
    <d v="2010-02-12T14:31:00"/>
    <x v="17"/>
    <n v="17226"/>
    <x v="1"/>
    <n v="5.04"/>
  </r>
  <r>
    <n v="511362"/>
    <s v="84795C"/>
    <x v="402"/>
    <x v="7"/>
    <d v="2010-06-08T11:14:00"/>
    <x v="2"/>
    <n v="15039"/>
    <x v="1"/>
    <n v="31.8"/>
  </r>
  <r>
    <s v="C521998"/>
    <n v="22750"/>
    <x v="403"/>
    <x v="30"/>
    <d v="2010-09-10T11:07:00"/>
    <x v="16"/>
    <n v="12921"/>
    <x v="1"/>
    <n v="-15"/>
  </r>
  <r>
    <n v="514108"/>
    <n v="22402"/>
    <x v="404"/>
    <x v="5"/>
    <d v="2010-06-30T12:47:00"/>
    <x v="3"/>
    <n v="13756"/>
    <x v="1"/>
    <n v="3.75"/>
  </r>
  <r>
    <n v="505554"/>
    <n v="48138"/>
    <x v="126"/>
    <x v="2"/>
    <d v="2010-04-23T09:51:00"/>
    <x v="10"/>
    <n v="12747"/>
    <x v="1"/>
    <n v="14.98"/>
  </r>
  <r>
    <n v="527957"/>
    <n v="21231"/>
    <x v="364"/>
    <x v="4"/>
    <d v="2010-10-19T16:38:00"/>
    <x v="3"/>
    <n v="13081"/>
    <x v="1"/>
    <n v="30"/>
  </r>
  <r>
    <n v="491457"/>
    <n v="21146"/>
    <x v="405"/>
    <x v="7"/>
    <d v="2009-12-11T11:26:00"/>
    <x v="5"/>
    <n v="15998"/>
    <x v="1"/>
    <n v="7.8"/>
  </r>
  <r>
    <n v="517042"/>
    <n v="22428"/>
    <x v="406"/>
    <x v="1"/>
    <d v="2010-07-26T11:46:00"/>
    <x v="64"/>
    <n v="13069"/>
    <x v="1"/>
    <n v="6.95"/>
  </r>
  <r>
    <n v="521974"/>
    <n v="22352"/>
    <x v="407"/>
    <x v="2"/>
    <d v="2010-09-09T19:56:00"/>
    <x v="4"/>
    <n v="15861"/>
    <x v="1"/>
    <n v="5.0999999999999996"/>
  </r>
  <r>
    <n v="530434"/>
    <n v="21914"/>
    <x v="408"/>
    <x v="4"/>
    <d v="2010-11-03T10:47:00"/>
    <x v="3"/>
    <n v="17511"/>
    <x v="1"/>
    <n v="30"/>
  </r>
  <r>
    <n v="510429"/>
    <n v="22521"/>
    <x v="409"/>
    <x v="7"/>
    <d v="2010-05-30T12:55:00"/>
    <x v="11"/>
    <n v="17618"/>
    <x v="1"/>
    <n v="3.4"/>
  </r>
  <r>
    <n v="518484"/>
    <n v="20910"/>
    <x v="410"/>
    <x v="1"/>
    <d v="2010-08-09T12:27:00"/>
    <x v="53"/>
    <n v="17841"/>
    <x v="1"/>
    <n v="6.35"/>
  </r>
  <r>
    <n v="519927"/>
    <s v="72801C"/>
    <x v="411"/>
    <x v="23"/>
    <d v="2010-08-22T15:12:00"/>
    <x v="17"/>
    <n v="17095"/>
    <x v="1"/>
    <n v="20.16"/>
  </r>
  <r>
    <n v="515012"/>
    <n v="22026"/>
    <x v="412"/>
    <x v="3"/>
    <d v="2010-07-07T16:14:00"/>
    <x v="17"/>
    <n v="15581"/>
    <x v="1"/>
    <n v="5.04"/>
  </r>
  <r>
    <n v="497739"/>
    <n v="21171"/>
    <x v="413"/>
    <x v="1"/>
    <d v="2010-02-12T10:21:00"/>
    <x v="42"/>
    <n v="14606"/>
    <x v="1"/>
    <n v="1.45"/>
  </r>
  <r>
    <n v="516273"/>
    <s v=" 48111 "/>
    <x v="140"/>
    <x v="2"/>
    <d v="2010-07-19T12:44:00"/>
    <x v="10"/>
    <n v="14978"/>
    <x v="1"/>
    <n v="14.98"/>
  </r>
  <r>
    <n v="495289"/>
    <n v="22319"/>
    <x v="414"/>
    <x v="3"/>
    <d v="2010-01-22T12:37:00"/>
    <x v="18"/>
    <n v="17519"/>
    <x v="1"/>
    <n v="7.8000000000000007"/>
  </r>
  <r>
    <n v="535088"/>
    <n v="21174"/>
    <x v="387"/>
    <x v="3"/>
    <d v="2010-11-25T10:05:00"/>
    <x v="5"/>
    <n v="17167"/>
    <x v="1"/>
    <n v="23.4"/>
  </r>
  <r>
    <n v="533074"/>
    <n v="21814"/>
    <x v="415"/>
    <x v="3"/>
    <d v="2010-11-16T07:52:00"/>
    <x v="3"/>
    <n v="14298"/>
    <x v="1"/>
    <n v="15"/>
  </r>
  <r>
    <s v=" 499659 "/>
    <n v="21869"/>
    <x v="416"/>
    <x v="5"/>
    <s v="01/03/2010 15:05"/>
    <x v="3"/>
    <n v="16731"/>
    <x v="1"/>
    <n v="3.75"/>
  </r>
  <r>
    <n v="526510"/>
    <n v="21868"/>
    <x v="417"/>
    <x v="3"/>
    <d v="2010-10-12T10:53:00"/>
    <x v="3"/>
    <n v="13299"/>
    <x v="1"/>
    <n v="15"/>
  </r>
  <r>
    <n v="493375"/>
    <n v="22303"/>
    <x v="117"/>
    <x v="0"/>
    <d v="2009-12-23T12:07:00"/>
    <x v="4"/>
    <n v="15514"/>
    <x v="1"/>
    <n v="15.299999999999999"/>
  </r>
  <r>
    <n v="534465"/>
    <n v="22762"/>
    <x v="418"/>
    <x v="1"/>
    <d v="2010-11-23T10:04:00"/>
    <x v="65"/>
    <n v="16821"/>
    <x v="1"/>
    <n v="14.95"/>
  </r>
  <r>
    <n v="513769"/>
    <n v="22711"/>
    <x v="419"/>
    <x v="10"/>
    <d v="2010-06-28T13:44:00"/>
    <x v="17"/>
    <n v="12701"/>
    <x v="2"/>
    <n v="10.5"/>
  </r>
  <r>
    <n v="534786"/>
    <n v="22113"/>
    <x v="95"/>
    <x v="1"/>
    <d v="2010-11-24T11:21:00"/>
    <x v="16"/>
    <n v="15854"/>
    <x v="1"/>
    <n v="3.75"/>
  </r>
  <r>
    <n v="529981"/>
    <n v="22587"/>
    <x v="420"/>
    <x v="36"/>
    <d v="2010-10-31T15:31:00"/>
    <x v="11"/>
    <n v="16686"/>
    <x v="1"/>
    <n v="0.85"/>
  </r>
  <r>
    <s v=" 507275 "/>
    <n v="37503"/>
    <x v="206"/>
    <x v="2"/>
    <d v="2010-05-07T12:56:00"/>
    <x v="49"/>
    <n v="13890"/>
    <x v="1"/>
    <n v="21.5"/>
  </r>
  <r>
    <n v="502633"/>
    <n v="37370"/>
    <x v="228"/>
    <x v="3"/>
    <d v="2010-03-25T16:19:00"/>
    <x v="3"/>
    <n v="12510"/>
    <x v="20"/>
    <n v="15"/>
  </r>
  <r>
    <n v="504873"/>
    <n v="21676"/>
    <x v="421"/>
    <x v="3"/>
    <d v="2010-04-18T12:36:00"/>
    <x v="11"/>
    <n v="14817"/>
    <x v="1"/>
    <n v="10.199999999999999"/>
  </r>
  <r>
    <n v="510047"/>
    <n v="47480"/>
    <x v="422"/>
    <x v="19"/>
    <d v="2010-05-26T17:17:00"/>
    <x v="42"/>
    <n v="15856"/>
    <x v="1"/>
    <n v="139.19999999999999"/>
  </r>
  <r>
    <n v="528642"/>
    <n v="22865"/>
    <x v="309"/>
    <x v="3"/>
    <d v="2010-10-24T11:50:00"/>
    <x v="9"/>
    <n v="13295"/>
    <x v="1"/>
    <n v="25.200000000000003"/>
  </r>
  <r>
    <n v="527358"/>
    <n v="22795"/>
    <x v="423"/>
    <x v="2"/>
    <d v="2010-10-17T10:42:00"/>
    <x v="31"/>
    <n v="16782"/>
    <x v="1"/>
    <n v="13.5"/>
  </r>
  <r>
    <n v="520885"/>
    <n v="22710"/>
    <x v="424"/>
    <x v="10"/>
    <d v="2010-08-31T16:21:00"/>
    <x v="17"/>
    <n v="14040"/>
    <x v="1"/>
    <n v="10.5"/>
  </r>
  <r>
    <n v="499988"/>
    <n v="21717"/>
    <x v="425"/>
    <x v="4"/>
    <d v="2010-03-03T16:21:00"/>
    <x v="4"/>
    <n v="13654"/>
    <x v="1"/>
    <n v="61.199999999999996"/>
  </r>
  <r>
    <n v="529888"/>
    <n v="21915"/>
    <x v="249"/>
    <x v="5"/>
    <d v="2010-10-31T14:06:00"/>
    <x v="3"/>
    <n v="16595"/>
    <x v="1"/>
    <n v="3.75"/>
  </r>
  <r>
    <n v="522424"/>
    <n v="21217"/>
    <x v="426"/>
    <x v="1"/>
    <d v="2010-09-14T12:58:00"/>
    <x v="45"/>
    <n v="12476"/>
    <x v="2"/>
    <n v="9.9499999999999993"/>
  </r>
  <r>
    <n v="509187"/>
    <n v="22644"/>
    <x v="335"/>
    <x v="18"/>
    <d v="2010-05-20T17:00:00"/>
    <x v="42"/>
    <n v="15826"/>
    <x v="1"/>
    <n v="17.399999999999999"/>
  </r>
  <r>
    <n v="527445"/>
    <n v="22367"/>
    <x v="212"/>
    <x v="8"/>
    <d v="2010-10-18T09:33:00"/>
    <x v="5"/>
    <n v="14741"/>
    <x v="1"/>
    <n v="15.6"/>
  </r>
  <r>
    <n v="516922"/>
    <n v="37474"/>
    <x v="427"/>
    <x v="1"/>
    <d v="2010-07-25T11:46:00"/>
    <x v="45"/>
    <n v="15727"/>
    <x v="1"/>
    <n v="9.9499999999999993"/>
  </r>
  <r>
    <n v="527939"/>
    <n v="15036"/>
    <x v="428"/>
    <x v="3"/>
    <d v="2010-10-19T14:09:00"/>
    <x v="66"/>
    <n v="14301"/>
    <x v="1"/>
    <n v="9"/>
  </r>
  <r>
    <n v="510743"/>
    <n v="21179"/>
    <x v="135"/>
    <x v="3"/>
    <d v="2010-06-03T12:30:00"/>
    <x v="3"/>
    <n v="14911"/>
    <x v="0"/>
    <n v="15"/>
  </r>
  <r>
    <n v="498757"/>
    <n v="20754"/>
    <x v="131"/>
    <x v="2"/>
    <d v="2010-02-22T16:49:00"/>
    <x v="9"/>
    <n v="14030"/>
    <x v="1"/>
    <n v="4.2"/>
  </r>
  <r>
    <n v="508486"/>
    <s v="84970S"/>
    <x v="429"/>
    <x v="3"/>
    <s v="05/16/2010 12:57"/>
    <x v="11"/>
    <n v="16456"/>
    <x v="1"/>
    <n v="10.199999999999999"/>
  </r>
  <r>
    <n v="538064"/>
    <s v=" 22297 "/>
    <x v="430"/>
    <x v="1"/>
    <d v="2010-12-09T13:47:00"/>
    <x v="3"/>
    <n v="15271"/>
    <x v="1"/>
    <n v="1.25"/>
  </r>
  <r>
    <n v="529843"/>
    <n v="21051"/>
    <x v="431"/>
    <x v="2"/>
    <d v="2010-10-31T12:56:00"/>
    <x v="9"/>
    <n v="16065"/>
    <x v="1"/>
    <n v="4.2"/>
  </r>
  <r>
    <n v="512400"/>
    <n v="21934"/>
    <x v="348"/>
    <x v="11"/>
    <d v="2010-06-15T12:35:00"/>
    <x v="1"/>
    <n v="13297"/>
    <x v="1"/>
    <n v="16.5"/>
  </r>
  <r>
    <n v="490674"/>
    <s v="85164B"/>
    <x v="432"/>
    <x v="2"/>
    <d v="2009-12-07T13:06:00"/>
    <x v="14"/>
    <n v="14307"/>
    <x v="1"/>
    <n v="25.5"/>
  </r>
  <r>
    <n v="508079"/>
    <n v="22435"/>
    <x v="67"/>
    <x v="11"/>
    <d v="2010-05-12T16:42:00"/>
    <x v="3"/>
    <n v="17092"/>
    <x v="1"/>
    <n v="12.5"/>
  </r>
  <r>
    <s v=" 536204 "/>
    <n v="20713"/>
    <x v="433"/>
    <x v="11"/>
    <s v="11/30/2010 13:16"/>
    <x v="5"/>
    <n v="15750"/>
    <x v="1"/>
    <n v="19.5"/>
  </r>
  <r>
    <n v="494798"/>
    <n v="22218"/>
    <x v="434"/>
    <x v="1"/>
    <d v="2010-01-18T14:32:00"/>
    <x v="25"/>
    <n v="17773"/>
    <x v="1"/>
    <n v="4.25"/>
  </r>
  <r>
    <n v="490072"/>
    <n v="22297"/>
    <x v="430"/>
    <x v="5"/>
    <d v="2009-12-03T14:28:00"/>
    <x v="3"/>
    <n v="17764"/>
    <x v="1"/>
    <n v="3.75"/>
  </r>
  <r>
    <n v="500362"/>
    <s v="82494L"/>
    <x v="435"/>
    <x v="7"/>
    <d v="2010-03-07T16:12:00"/>
    <x v="0"/>
    <n v="17449"/>
    <x v="1"/>
    <n v="11.8"/>
  </r>
  <r>
    <n v="508251"/>
    <n v="21731"/>
    <x v="59"/>
    <x v="3"/>
    <d v="2010-05-14T10:40:00"/>
    <x v="1"/>
    <n v="13157"/>
    <x v="1"/>
    <n v="19.799999999999997"/>
  </r>
  <r>
    <n v="518561"/>
    <n v="21106"/>
    <x v="436"/>
    <x v="0"/>
    <d v="2010-08-10T10:22:00"/>
    <x v="0"/>
    <n v="17023"/>
    <x v="1"/>
    <n v="17.700000000000003"/>
  </r>
  <r>
    <n v="516872"/>
    <n v="48111"/>
    <x v="140"/>
    <x v="2"/>
    <d v="2010-07-23T12:59:00"/>
    <x v="10"/>
    <n v="13874"/>
    <x v="1"/>
    <n v="14.98"/>
  </r>
  <r>
    <n v="512602"/>
    <n v="21260"/>
    <x v="142"/>
    <x v="0"/>
    <d v="2010-06-17T08:20:00"/>
    <x v="21"/>
    <n v="16492"/>
    <x v="1"/>
    <n v="19.5"/>
  </r>
  <r>
    <n v="511844"/>
    <n v="22468"/>
    <x v="437"/>
    <x v="7"/>
    <d v="2010-06-10T18:35:00"/>
    <x v="31"/>
    <n v="16679"/>
    <x v="1"/>
    <n v="27"/>
  </r>
  <r>
    <n v="522463"/>
    <n v="20718"/>
    <x v="438"/>
    <x v="1"/>
    <d v="2010-09-14T17:13:00"/>
    <x v="3"/>
    <n v="14710"/>
    <x v="1"/>
    <n v="1.25"/>
  </r>
  <r>
    <n v="506400"/>
    <s v="85099F"/>
    <x v="439"/>
    <x v="11"/>
    <d v="2010-04-29T13:35:00"/>
    <x v="5"/>
    <n v="15954"/>
    <x v="1"/>
    <n v="19.5"/>
  </r>
  <r>
    <n v="528615"/>
    <n v="22736"/>
    <x v="440"/>
    <x v="1"/>
    <d v="2010-10-22T16:36:00"/>
    <x v="1"/>
    <n v="17231"/>
    <x v="1"/>
    <n v="1.65"/>
  </r>
  <r>
    <n v="536038"/>
    <n v="85178"/>
    <x v="441"/>
    <x v="5"/>
    <d v="2010-11-29T17:11:00"/>
    <x v="3"/>
    <n v="14130"/>
    <x v="1"/>
    <n v="3.75"/>
  </r>
  <r>
    <n v="500844"/>
    <n v="22286"/>
    <x v="442"/>
    <x v="2"/>
    <d v="2010-03-10T12:16:00"/>
    <x v="1"/>
    <n v="13413"/>
    <x v="1"/>
    <n v="3.3"/>
  </r>
  <r>
    <n v="501133"/>
    <n v="22236"/>
    <x v="443"/>
    <x v="2"/>
    <d v="2010-03-14T10:10:00"/>
    <x v="14"/>
    <n v="17920"/>
    <x v="1"/>
    <n v="25.5"/>
  </r>
  <r>
    <n v="531947"/>
    <n v="21463"/>
    <x v="444"/>
    <x v="7"/>
    <d v="2010-11-10T12:16:00"/>
    <x v="6"/>
    <n v="14390"/>
    <x v="1"/>
    <n v="23.8"/>
  </r>
  <r>
    <n v="530085"/>
    <n v="22577"/>
    <x v="445"/>
    <x v="1"/>
    <d v="2010-11-01T13:26:00"/>
    <x v="11"/>
    <n v="17315"/>
    <x v="1"/>
    <n v="0.85"/>
  </r>
  <r>
    <n v="502617"/>
    <s v=" 20969 "/>
    <x v="446"/>
    <x v="7"/>
    <d v="2010-03-25T14:39:00"/>
    <x v="16"/>
    <n v="15027"/>
    <x v="1"/>
    <n v="15"/>
  </r>
  <r>
    <n v="536974"/>
    <s v=" 20749 "/>
    <x v="85"/>
    <x v="2"/>
    <d v="2010-12-03T13:59:00"/>
    <x v="2"/>
    <n v="12682"/>
    <x v="3"/>
    <n v="15.9"/>
  </r>
  <r>
    <n v="491633"/>
    <n v="84987"/>
    <x v="447"/>
    <x v="2"/>
    <d v="2009-12-11T15:37:00"/>
    <x v="42"/>
    <n v="17958"/>
    <x v="1"/>
    <n v="2.9"/>
  </r>
  <r>
    <n v="519005"/>
    <s v="84849B"/>
    <x v="448"/>
    <x v="1"/>
    <d v="2010-08-12T19:18:00"/>
    <x v="33"/>
    <n v="16549"/>
    <x v="1"/>
    <n v="1.69"/>
  </r>
  <r>
    <n v="519371"/>
    <n v="22371"/>
    <x v="449"/>
    <x v="1"/>
    <d v="2010-08-16T13:12:00"/>
    <x v="53"/>
    <n v="14606"/>
    <x v="1"/>
    <n v="6.35"/>
  </r>
  <r>
    <n v="529826"/>
    <n v="22968"/>
    <x v="450"/>
    <x v="2"/>
    <d v="2010-10-31T11:43:00"/>
    <x v="45"/>
    <n v="15351"/>
    <x v="1"/>
    <n v="19.899999999999999"/>
  </r>
  <r>
    <n v="534718"/>
    <n v="21755"/>
    <x v="258"/>
    <x v="5"/>
    <d v="2010-11-23T17:48:00"/>
    <x v="6"/>
    <s v="13843"/>
    <x v="1"/>
    <n v="17.850000000000001"/>
  </r>
  <r>
    <n v="500220"/>
    <n v="21977"/>
    <x v="451"/>
    <x v="2"/>
    <d v="2010-03-05T11:16:00"/>
    <x v="29"/>
    <n v="14896"/>
    <x v="1"/>
    <n v="1.1000000000000001"/>
  </r>
  <r>
    <n v="489439"/>
    <s v=" 85216 "/>
    <x v="155"/>
    <x v="3"/>
    <d v="2009-12-01T09:28:00"/>
    <x v="18"/>
    <n v="12682"/>
    <x v="3"/>
    <n v="7.8000000000000007"/>
  </r>
  <r>
    <n v="513108"/>
    <s v="84802B"/>
    <x v="452"/>
    <x v="4"/>
    <d v="2010-06-21T16:04:00"/>
    <x v="33"/>
    <n v="14204"/>
    <x v="1"/>
    <n v="40.56"/>
  </r>
  <r>
    <n v="499972"/>
    <s v="84985B"/>
    <x v="453"/>
    <x v="1"/>
    <d v="2010-03-03T14:31:00"/>
    <x v="42"/>
    <n v="13680"/>
    <x v="1"/>
    <n v="1.45"/>
  </r>
  <r>
    <n v="506442"/>
    <n v="22476"/>
    <x v="454"/>
    <x v="2"/>
    <d v="2010-04-29T16:45:00"/>
    <x v="24"/>
    <n v="16520"/>
    <x v="1"/>
    <n v="9.9"/>
  </r>
  <r>
    <n v="523005"/>
    <n v="37509"/>
    <x v="455"/>
    <x v="2"/>
    <d v="2010-09-19T16:20:00"/>
    <x v="4"/>
    <n v="12748"/>
    <x v="1"/>
    <n v="5.0999999999999996"/>
  </r>
  <r>
    <n v="490707"/>
    <n v="21875"/>
    <x v="456"/>
    <x v="1"/>
    <d v="2009-12-07T15:02:00"/>
    <x v="3"/>
    <n v="17865"/>
    <x v="1"/>
    <n v="1.25"/>
  </r>
  <r>
    <n v="498401"/>
    <n v="22329"/>
    <x v="457"/>
    <x v="3"/>
    <d v="2010-02-18T15:44:00"/>
    <x v="1"/>
    <n v="17469"/>
    <x v="1"/>
    <n v="19.799999999999997"/>
  </r>
  <r>
    <s v="C516149"/>
    <n v="82578"/>
    <x v="458"/>
    <x v="13"/>
    <d v="2010-07-18T10:52:00"/>
    <x v="29"/>
    <n v="13798"/>
    <x v="1"/>
    <n v="-0.55000000000000004"/>
  </r>
  <r>
    <n v="517097"/>
    <n v="22188"/>
    <x v="374"/>
    <x v="7"/>
    <d v="2010-07-26T15:08:00"/>
    <x v="67"/>
    <n v="17612"/>
    <x v="1"/>
    <n v="15.8"/>
  </r>
  <r>
    <n v="537059"/>
    <n v="22451"/>
    <x v="459"/>
    <x v="2"/>
    <d v="2010-12-05T11:54:00"/>
    <x v="68"/>
    <n v="14813"/>
    <x v="1"/>
    <n v="6.7"/>
  </r>
  <r>
    <n v="499168"/>
    <n v="47502"/>
    <x v="460"/>
    <x v="11"/>
    <d v="2010-02-25T09:33:00"/>
    <x v="45"/>
    <n v="16029"/>
    <x v="1"/>
    <n v="99.5"/>
  </r>
  <r>
    <n v="510483"/>
    <n v="22545"/>
    <x v="461"/>
    <x v="22"/>
    <d v="2010-06-01T11:27:00"/>
    <x v="17"/>
    <n v="16960"/>
    <x v="1"/>
    <n v="2.94"/>
  </r>
  <r>
    <n v="511066"/>
    <n v="22179"/>
    <x v="462"/>
    <x v="2"/>
    <d v="2010-06-06T12:59:00"/>
    <x v="31"/>
    <n v="13109"/>
    <x v="1"/>
    <n v="13.5"/>
  </r>
  <r>
    <n v="517978"/>
    <n v="21774"/>
    <x v="463"/>
    <x v="3"/>
    <d v="2010-08-03T14:38:00"/>
    <x v="3"/>
    <n v="16316"/>
    <x v="1"/>
    <n v="15"/>
  </r>
  <r>
    <n v="496008"/>
    <n v="48129"/>
    <x v="464"/>
    <x v="2"/>
    <d v="2010-01-28T12:36:00"/>
    <x v="31"/>
    <n v="14911"/>
    <x v="0"/>
    <n v="13.5"/>
  </r>
  <r>
    <n v="535680"/>
    <n v="21670"/>
    <x v="465"/>
    <x v="3"/>
    <d v="2010-11-28T12:25:00"/>
    <x v="3"/>
    <n v="17001"/>
    <x v="1"/>
    <n v="15"/>
  </r>
  <r>
    <n v="498121"/>
    <n v="48129"/>
    <x v="464"/>
    <x v="15"/>
    <d v="2010-02-16T15:27:00"/>
    <x v="10"/>
    <n v="17351"/>
    <x v="1"/>
    <n v="37.450000000000003"/>
  </r>
  <r>
    <n v="491998"/>
    <n v="21041"/>
    <x v="466"/>
    <x v="0"/>
    <d v="2009-12-15T11:09:00"/>
    <x v="0"/>
    <n v="16858"/>
    <x v="1"/>
    <n v="17.700000000000003"/>
  </r>
  <r>
    <n v="530796"/>
    <n v="84915"/>
    <x v="467"/>
    <x v="1"/>
    <d v="2010-11-04T12:27:00"/>
    <x v="6"/>
    <n v="16391"/>
    <x v="1"/>
    <n v="5.95"/>
  </r>
  <r>
    <n v="491395"/>
    <n v="21737"/>
    <x v="329"/>
    <x v="36"/>
    <d v="2009-12-10T16:30:00"/>
    <x v="58"/>
    <n v="16901"/>
    <x v="1"/>
    <n v="19.95"/>
  </r>
  <r>
    <n v="515313"/>
    <n v="21272"/>
    <x v="468"/>
    <x v="2"/>
    <d v="2010-07-11T10:28:00"/>
    <x v="3"/>
    <n v="15164"/>
    <x v="1"/>
    <n v="2.5"/>
  </r>
  <r>
    <n v="531478"/>
    <n v="22910"/>
    <x v="397"/>
    <x v="0"/>
    <s v="2010-11-08 14:20"/>
    <x v="0"/>
    <n v="17084"/>
    <x v="1"/>
    <n v="17.700000000000003"/>
  </r>
  <r>
    <n v="535467"/>
    <s v="85123A"/>
    <x v="100"/>
    <x v="3"/>
    <d v="2010-11-26T13:26:00"/>
    <x v="0"/>
    <n v="15081"/>
    <x v="1"/>
    <n v="35.400000000000006"/>
  </r>
  <r>
    <n v="499123"/>
    <n v="84050"/>
    <x v="386"/>
    <x v="0"/>
    <d v="2010-02-24T16:15:00"/>
    <x v="1"/>
    <n v="14556"/>
    <x v="1"/>
    <n v="9.8999999999999986"/>
  </r>
  <r>
    <n v="509413"/>
    <n v="22327"/>
    <x v="469"/>
    <x v="5"/>
    <d v="2010-05-23T12:28:00"/>
    <x v="0"/>
    <n v="17920"/>
    <x v="1"/>
    <n v="8.8500000000000014"/>
  </r>
  <r>
    <n v="517518"/>
    <n v="85178"/>
    <x v="441"/>
    <x v="3"/>
    <d v="2010-07-29T13:55:00"/>
    <x v="3"/>
    <n v="13013"/>
    <x v="1"/>
    <n v="15"/>
  </r>
  <r>
    <n v="490871"/>
    <n v="21904"/>
    <x v="470"/>
    <x v="5"/>
    <d v="2009-12-08T12:54:00"/>
    <x v="9"/>
    <n v="15456"/>
    <x v="1"/>
    <n v="6.3000000000000007"/>
  </r>
  <r>
    <n v="526230"/>
    <s v="72799F"/>
    <x v="471"/>
    <x v="0"/>
    <d v="2010-10-10T15:27:00"/>
    <x v="0"/>
    <n v="13362"/>
    <x v="1"/>
    <n v="17.700000000000003"/>
  </r>
  <r>
    <n v="510191"/>
    <s v="84970S"/>
    <x v="429"/>
    <x v="3"/>
    <d v="2010-05-27T17:56:00"/>
    <x v="11"/>
    <n v="16451"/>
    <x v="1"/>
    <n v="10.199999999999999"/>
  </r>
  <r>
    <n v="530409"/>
    <n v="22692"/>
    <x v="472"/>
    <x v="2"/>
    <d v="2010-11-02T18:08:00"/>
    <x v="2"/>
    <n v="16614"/>
    <x v="1"/>
    <n v="15.9"/>
  </r>
  <r>
    <n v="521166"/>
    <n v="22569"/>
    <x v="30"/>
    <x v="1"/>
    <d v="2010-09-02T14:52:00"/>
    <x v="16"/>
    <n v="17238"/>
    <x v="1"/>
    <n v="3.75"/>
  </r>
  <r>
    <n v="505368"/>
    <n v="22375"/>
    <x v="473"/>
    <x v="2"/>
    <d v="2010-04-21T16:28:00"/>
    <x v="53"/>
    <n v="14388"/>
    <x v="1"/>
    <n v="12.7"/>
  </r>
  <r>
    <n v="512262"/>
    <n v="84791"/>
    <x v="474"/>
    <x v="2"/>
    <d v="2010-06-14T13:18:00"/>
    <x v="0"/>
    <n v="16007"/>
    <x v="1"/>
    <n v="5.9"/>
  </r>
  <r>
    <n v="519610"/>
    <s v="85124A"/>
    <x v="475"/>
    <x v="2"/>
    <d v="2010-08-18T16:54:00"/>
    <x v="4"/>
    <n v="15494"/>
    <x v="1"/>
    <n v="5.0999999999999996"/>
  </r>
  <r>
    <n v="512426"/>
    <s v="84970S"/>
    <x v="429"/>
    <x v="3"/>
    <d v="2010-06-15T15:00:00"/>
    <x v="11"/>
    <n v="13168"/>
    <x v="1"/>
    <n v="10.199999999999999"/>
  </r>
  <r>
    <n v="527571"/>
    <n v="22785"/>
    <x v="476"/>
    <x v="0"/>
    <d v="2010-10-18T13:34:00"/>
    <x v="31"/>
    <n v="17672"/>
    <x v="1"/>
    <n v="40.5"/>
  </r>
  <r>
    <s v=" 514220 "/>
    <n v="22646"/>
    <x v="477"/>
    <x v="3"/>
    <d v="2010-07-01T09:36:00"/>
    <x v="42"/>
    <n v="17146"/>
    <x v="1"/>
    <n v="17.399999999999999"/>
  </r>
  <r>
    <n v="499067"/>
    <s v="15056BL"/>
    <x v="28"/>
    <x v="43"/>
    <d v="2010-02-24T14:30:00"/>
    <x v="24"/>
    <n v="14911"/>
    <x v="0"/>
    <n v="297"/>
  </r>
  <r>
    <n v="500122"/>
    <n v="21868"/>
    <x v="417"/>
    <x v="3"/>
    <d v="2010-03-04T14:23:00"/>
    <x v="3"/>
    <n v="14018"/>
    <x v="1"/>
    <n v="15"/>
  </r>
  <r>
    <n v="535260"/>
    <s v="85130A"/>
    <x v="478"/>
    <x v="1"/>
    <d v="2010-11-25T13:20:00"/>
    <x v="1"/>
    <n v="15021"/>
    <x v="1"/>
    <n v="1.65"/>
  </r>
  <r>
    <n v="533318"/>
    <n v="22176"/>
    <x v="479"/>
    <x v="3"/>
    <d v="2010-11-16T17:23:00"/>
    <x v="0"/>
    <n v="14828"/>
    <x v="1"/>
    <n v="35.400000000000006"/>
  </r>
  <r>
    <n v="534705"/>
    <n v="21248"/>
    <x v="480"/>
    <x v="7"/>
    <d v="2010-11-23T16:40:00"/>
    <x v="42"/>
    <n v="16242"/>
    <x v="1"/>
    <n v="5.8"/>
  </r>
  <r>
    <n v="532391"/>
    <s v=" 22577 "/>
    <x v="445"/>
    <x v="15"/>
    <d v="2010-11-11T19:14:00"/>
    <x v="11"/>
    <n v="16797"/>
    <x v="1"/>
    <n v="4.25"/>
  </r>
  <r>
    <n v="525232"/>
    <n v="22365"/>
    <x v="481"/>
    <x v="11"/>
    <d v="2010-10-04T14:11:00"/>
    <x v="31"/>
    <s v="17873"/>
    <x v="21"/>
    <n v="67.5"/>
  </r>
  <r>
    <n v="500751"/>
    <n v="79320"/>
    <x v="482"/>
    <x v="7"/>
    <d v="2010-03-10T10:25:00"/>
    <x v="24"/>
    <n v="13081"/>
    <x v="1"/>
    <n v="19.8"/>
  </r>
  <r>
    <n v="495546"/>
    <n v="21790"/>
    <x v="184"/>
    <x v="0"/>
    <d v="2010-01-25T15:54:00"/>
    <x v="11"/>
    <n v="13206"/>
    <x v="1"/>
    <n v="5.0999999999999996"/>
  </r>
  <r>
    <n v="489875"/>
    <n v="21622"/>
    <x v="54"/>
    <x v="5"/>
    <d v="2009-12-02T15:41:00"/>
    <x v="24"/>
    <n v="17841"/>
    <x v="1"/>
    <n v="14.850000000000001"/>
  </r>
  <r>
    <n v="510138"/>
    <n v="21155"/>
    <x v="331"/>
    <x v="0"/>
    <d v="2010-05-27T12:22:00"/>
    <x v="9"/>
    <n v="16946"/>
    <x v="1"/>
    <n v="12.600000000000001"/>
  </r>
  <r>
    <s v="C520975"/>
    <n v="20728"/>
    <x v="483"/>
    <x v="47"/>
    <d v="2010-09-01T12:52:00"/>
    <x v="42"/>
    <n v="14156"/>
    <x v="0"/>
    <n v="-72.5"/>
  </r>
  <r>
    <n v="520738"/>
    <n v="22147"/>
    <x v="484"/>
    <x v="3"/>
    <d v="2010-08-31T09:36:00"/>
    <x v="42"/>
    <n v="14837"/>
    <x v="1"/>
    <n v="17.399999999999999"/>
  </r>
  <r>
    <s v="C514060"/>
    <n v="85042"/>
    <x v="485"/>
    <x v="13"/>
    <d v="2010-06-30T11:54:00"/>
    <x v="24"/>
    <n v="14555"/>
    <x v="1"/>
    <n v="-4.95"/>
  </r>
  <r>
    <n v="537400"/>
    <n v="82551"/>
    <x v="486"/>
    <x v="1"/>
    <d v="2010-12-06T14:36:00"/>
    <x v="42"/>
    <n v="17191"/>
    <x v="1"/>
    <n v="1.45"/>
  </r>
  <r>
    <n v="527309"/>
    <n v="22469"/>
    <x v="487"/>
    <x v="2"/>
    <d v="2010-10-15T14:47:00"/>
    <x v="1"/>
    <n v="13052"/>
    <x v="1"/>
    <n v="3.3"/>
  </r>
  <r>
    <n v="534155"/>
    <n v="20754"/>
    <x v="488"/>
    <x v="2"/>
    <d v="2010-11-21T12:31:00"/>
    <x v="9"/>
    <n v="17618"/>
    <x v="1"/>
    <n v="4.2"/>
  </r>
  <r>
    <n v="504903"/>
    <n v="84991"/>
    <x v="489"/>
    <x v="2"/>
    <d v="2010-04-18T15:48:00"/>
    <x v="29"/>
    <n v="16549"/>
    <x v="1"/>
    <n v="1.1000000000000001"/>
  </r>
  <r>
    <n v="508496"/>
    <s v="84459A"/>
    <x v="490"/>
    <x v="0"/>
    <d v="2010-05-16T14:41:00"/>
    <x v="41"/>
    <n v="16208"/>
    <x v="1"/>
    <n v="8.94"/>
  </r>
  <r>
    <n v="519658"/>
    <n v="21745"/>
    <x v="491"/>
    <x v="2"/>
    <d v="2010-08-19T11:32:00"/>
    <x v="16"/>
    <n v="16225"/>
    <x v="1"/>
    <n v="7.5"/>
  </r>
  <r>
    <n v="492078"/>
    <n v="21034"/>
    <x v="298"/>
    <x v="1"/>
    <d v="2009-12-15T13:48:00"/>
    <x v="54"/>
    <n v="14966"/>
    <x v="1"/>
    <n v="0.95"/>
  </r>
  <r>
    <n v="535957"/>
    <n v="22966"/>
    <x v="492"/>
    <x v="3"/>
    <d v="2010-11-29T12:26:00"/>
    <x v="3"/>
    <n v="13510"/>
    <x v="1"/>
    <n v="15"/>
  </r>
  <r>
    <n v="499242"/>
    <n v="22354"/>
    <x v="493"/>
    <x v="8"/>
    <d v="2010-02-25T13:29:00"/>
    <x v="35"/>
    <n v="17850"/>
    <x v="1"/>
    <n v="27.12"/>
  </r>
  <r>
    <n v="529341"/>
    <n v="22150"/>
    <x v="283"/>
    <x v="1"/>
    <d v="2010-10-27T16:38:00"/>
    <x v="5"/>
    <n v="17322"/>
    <x v="1"/>
    <n v="1.95"/>
  </r>
  <r>
    <n v="535799"/>
    <n v="22733"/>
    <x v="97"/>
    <x v="1"/>
    <d v="2010-11-28T14:49:00"/>
    <x v="3"/>
    <n v="16720"/>
    <x v="1"/>
    <n v="1.25"/>
  </r>
  <r>
    <n v="522080"/>
    <n v="84839"/>
    <x v="82"/>
    <x v="1"/>
    <d v="2010-09-12T11:41:00"/>
    <x v="31"/>
    <n v="14525"/>
    <x v="1"/>
    <n v="6.75"/>
  </r>
  <r>
    <n v="531900"/>
    <n v="21107"/>
    <x v="494"/>
    <x v="1"/>
    <d v="2010-11-10T12:03:00"/>
    <x v="0"/>
    <n v="15031"/>
    <x v="1"/>
    <n v="2.95"/>
  </r>
  <r>
    <n v="524174"/>
    <n v="21393"/>
    <x v="495"/>
    <x v="48"/>
    <s v="09/27/2010 16:30"/>
    <x v="69"/>
    <n v="13687"/>
    <x v="1"/>
    <n v="324.48"/>
  </r>
  <r>
    <n v="523149"/>
    <n v="82583"/>
    <x v="496"/>
    <x v="2"/>
    <d v="2010-09-20T14:49:00"/>
    <x v="9"/>
    <n v="17585"/>
    <x v="1"/>
    <n v="4.2"/>
  </r>
  <r>
    <n v="501730"/>
    <n v="22383"/>
    <x v="497"/>
    <x v="0"/>
    <d v="2010-03-19T11:05:00"/>
    <x v="1"/>
    <n v="14159"/>
    <x v="1"/>
    <n v="9.8999999999999986"/>
  </r>
  <r>
    <n v="506909"/>
    <n v="21071"/>
    <x v="498"/>
    <x v="3"/>
    <d v="2010-05-05T10:47:00"/>
    <x v="3"/>
    <n v="18061"/>
    <x v="1"/>
    <n v="15"/>
  </r>
  <r>
    <n v="514023"/>
    <n v="21160"/>
    <x v="499"/>
    <x v="1"/>
    <d v="2010-06-30T11:08:00"/>
    <x v="42"/>
    <n v="14530"/>
    <x v="1"/>
    <n v="1.45"/>
  </r>
  <r>
    <n v="498400"/>
    <n v="22384"/>
    <x v="218"/>
    <x v="7"/>
    <d v="2010-02-18T15:33:00"/>
    <x v="1"/>
    <n v="15005"/>
    <x v="1"/>
    <n v="6.6"/>
  </r>
  <r>
    <n v="511300"/>
    <n v="22425"/>
    <x v="500"/>
    <x v="1"/>
    <d v="2010-06-07T15:31:00"/>
    <x v="24"/>
    <n v="16788"/>
    <x v="1"/>
    <n v="4.95"/>
  </r>
  <r>
    <n v="500498"/>
    <n v="48138"/>
    <x v="126"/>
    <x v="2"/>
    <d v="2010-03-08T13:17:00"/>
    <x v="10"/>
    <n v="17672"/>
    <x v="1"/>
    <n v="14.98"/>
  </r>
  <r>
    <n v="513050"/>
    <n v="22081"/>
    <x v="501"/>
    <x v="2"/>
    <d v="2010-06-21T13:18:00"/>
    <x v="1"/>
    <n v="14493"/>
    <x v="1"/>
    <n v="3.3"/>
  </r>
  <r>
    <n v="528618"/>
    <n v="72133"/>
    <x v="502"/>
    <x v="2"/>
    <d v="2010-10-22T17:07:00"/>
    <x v="3"/>
    <n v="13263"/>
    <x v="1"/>
    <n v="2.5"/>
  </r>
  <r>
    <n v="520176"/>
    <n v="21931"/>
    <x v="314"/>
    <x v="14"/>
    <d v="2010-08-24T13:28:00"/>
    <x v="5"/>
    <n v="15615"/>
    <x v="1"/>
    <n v="39"/>
  </r>
  <r>
    <n v="504183"/>
    <s v="85099B"/>
    <x v="503"/>
    <x v="11"/>
    <d v="2010-04-12T09:13:00"/>
    <x v="5"/>
    <n v="13418"/>
    <x v="1"/>
    <n v="19.5"/>
  </r>
  <r>
    <s v=" 500098 "/>
    <n v="84975"/>
    <x v="300"/>
    <x v="0"/>
    <d v="2010-03-04T12:32:00"/>
    <x v="33"/>
    <n v="16771"/>
    <x v="1"/>
    <n v="10.14"/>
  </r>
  <r>
    <n v="525104"/>
    <n v="22162"/>
    <x v="252"/>
    <x v="8"/>
    <d v="2010-10-04T10:29:00"/>
    <x v="0"/>
    <n v="16476"/>
    <x v="1"/>
    <n v="23.6"/>
  </r>
  <r>
    <n v="512560"/>
    <s v="84520B"/>
    <x v="504"/>
    <x v="7"/>
    <d v="2010-06-16T14:28:00"/>
    <x v="11"/>
    <n v="17931"/>
    <x v="1"/>
    <n v="3.4"/>
  </r>
  <r>
    <n v="521222"/>
    <n v="85063"/>
    <x v="505"/>
    <x v="1"/>
    <d v="2010-09-03T10:39:00"/>
    <x v="36"/>
    <n v="17287"/>
    <x v="1"/>
    <n v="16.95"/>
  </r>
  <r>
    <n v="530742"/>
    <n v="21804"/>
    <x v="506"/>
    <x v="0"/>
    <d v="2010-11-04T11:53:00"/>
    <x v="16"/>
    <n v="14136"/>
    <x v="1"/>
    <n v="22.5"/>
  </r>
  <r>
    <n v="509453"/>
    <n v="22077"/>
    <x v="137"/>
    <x v="3"/>
    <d v="2010-05-24T09:49:00"/>
    <x v="1"/>
    <n v="13381"/>
    <x v="1"/>
    <n v="19.799999999999997"/>
  </r>
  <r>
    <n v="501508"/>
    <n v="20725"/>
    <x v="507"/>
    <x v="11"/>
    <d v="2010-03-17T11:33:00"/>
    <x v="42"/>
    <n v="17448"/>
    <x v="1"/>
    <n v="14.5"/>
  </r>
  <r>
    <n v="529597"/>
    <n v="21791"/>
    <x v="508"/>
    <x v="4"/>
    <d v="2010-10-29T08:48:00"/>
    <x v="3"/>
    <n v="17675"/>
    <x v="1"/>
    <n v="30"/>
  </r>
  <r>
    <n v="496313"/>
    <n v="21892"/>
    <x v="52"/>
    <x v="40"/>
    <d v="2010-01-31T12:15:00"/>
    <x v="3"/>
    <n v="15013"/>
    <x v="1"/>
    <n v="11.25"/>
  </r>
  <r>
    <n v="536874"/>
    <s v="84993A"/>
    <x v="509"/>
    <x v="1"/>
    <d v="2010-12-03T11:35:00"/>
    <x v="17"/>
    <n v="16891"/>
    <x v="1"/>
    <n v="0.42"/>
  </r>
  <r>
    <n v="511105"/>
    <n v="21238"/>
    <x v="510"/>
    <x v="8"/>
    <d v="2010-06-07T09:37:00"/>
    <x v="11"/>
    <n v="13815"/>
    <x v="2"/>
    <n v="6.8"/>
  </r>
  <r>
    <n v="524856"/>
    <n v="20971"/>
    <x v="511"/>
    <x v="7"/>
    <d v="2010-09-30T19:43:00"/>
    <x v="3"/>
    <n v="14713"/>
    <x v="1"/>
    <n v="5"/>
  </r>
  <r>
    <n v="533293"/>
    <n v="21212"/>
    <x v="367"/>
    <x v="4"/>
    <s v="16-11-2010 15:58"/>
    <x v="29"/>
    <n v="16145"/>
    <x v="1"/>
    <n v="13.200000000000001"/>
  </r>
  <r>
    <n v="511136"/>
    <n v="22479"/>
    <x v="512"/>
    <x v="11"/>
    <d v="2010-06-07T11:38:00"/>
    <x v="3"/>
    <n v="17897"/>
    <x v="1"/>
    <n v="12.5"/>
  </r>
  <r>
    <n v="517513"/>
    <n v="22139"/>
    <x v="86"/>
    <x v="7"/>
    <d v="2010-07-29T13:28:00"/>
    <x v="24"/>
    <n v="15023"/>
    <x v="1"/>
    <n v="19.8"/>
  </r>
  <r>
    <n v="510936"/>
    <n v="22090"/>
    <x v="400"/>
    <x v="3"/>
    <d v="2010-06-04T10:35:00"/>
    <x v="0"/>
    <n v="12701"/>
    <x v="2"/>
    <n v="35.400000000000006"/>
  </r>
  <r>
    <n v="536263"/>
    <n v="21484"/>
    <x v="304"/>
    <x v="3"/>
    <d v="2010-11-30T15:41:00"/>
    <x v="57"/>
    <n v="15160"/>
    <x v="1"/>
    <n v="41.400000000000006"/>
  </r>
  <r>
    <n v="532297"/>
    <n v="37340"/>
    <x v="513"/>
    <x v="0"/>
    <d v="2010-11-11T13:50:00"/>
    <x v="11"/>
    <n v="13979"/>
    <x v="1"/>
    <n v="5.0999999999999996"/>
  </r>
  <r>
    <n v="490158"/>
    <n v="20679"/>
    <x v="514"/>
    <x v="5"/>
    <d v="2009-12-04T10:47:00"/>
    <x v="6"/>
    <n v="12759"/>
    <x v="9"/>
    <n v="17.850000000000001"/>
  </r>
  <r>
    <n v="509965"/>
    <n v="82582"/>
    <x v="515"/>
    <x v="0"/>
    <d v="2010-05-26T13:17:00"/>
    <x v="38"/>
    <n v="15078"/>
    <x v="1"/>
    <n v="12.600000000000001"/>
  </r>
  <r>
    <n v="536856"/>
    <n v="22697"/>
    <x v="516"/>
    <x v="0"/>
    <d v="2010-12-03T10:26:00"/>
    <x v="0"/>
    <n v="13370"/>
    <x v="1"/>
    <n v="17.700000000000003"/>
  </r>
  <r>
    <n v="535283"/>
    <n v="85175"/>
    <x v="517"/>
    <x v="27"/>
    <d v="2010-11-25T14:18:00"/>
    <x v="17"/>
    <n v="14443"/>
    <x v="1"/>
    <n v="6.72"/>
  </r>
  <r>
    <n v="519610"/>
    <s v="85049G"/>
    <x v="518"/>
    <x v="40"/>
    <d v="2010-08-18T16:54:00"/>
    <x v="3"/>
    <n v="15494"/>
    <x v="1"/>
    <n v="11.25"/>
  </r>
  <r>
    <n v="512657"/>
    <n v="21446"/>
    <x v="519"/>
    <x v="1"/>
    <d v="2010-06-17T11:23:00"/>
    <x v="3"/>
    <s v="12835"/>
    <x v="1"/>
    <n v="1.25"/>
  </r>
  <r>
    <n v="529339"/>
    <s v="79066K"/>
    <x v="520"/>
    <x v="1"/>
    <d v="2010-10-27T16:23:00"/>
    <x v="11"/>
    <n v="16382"/>
    <x v="1"/>
    <n v="0.85"/>
  </r>
  <r>
    <n v="514676"/>
    <n v="22196"/>
    <x v="34"/>
    <x v="1"/>
    <d v="2010-07-05T13:34:00"/>
    <x v="11"/>
    <n v="14606"/>
    <x v="1"/>
    <n v="0.85"/>
  </r>
  <r>
    <s v="C537383"/>
    <n v="21658"/>
    <x v="148"/>
    <x v="13"/>
    <d v="2010-12-06T13:17:00"/>
    <x v="39"/>
    <n v="16550"/>
    <x v="1"/>
    <n v="-3.95"/>
  </r>
  <r>
    <n v="514165"/>
    <n v="21915"/>
    <x v="249"/>
    <x v="3"/>
    <d v="2010-06-30T15:35:00"/>
    <x v="3"/>
    <n v="12714"/>
    <x v="3"/>
    <n v="15"/>
  </r>
  <r>
    <n v="536623"/>
    <n v="22431"/>
    <x v="351"/>
    <x v="0"/>
    <d v="2010-12-02T10:39:00"/>
    <x v="5"/>
    <n v="15601"/>
    <x v="1"/>
    <n v="11.7"/>
  </r>
  <r>
    <n v="495185"/>
    <n v="85187"/>
    <x v="521"/>
    <x v="3"/>
    <d v="2010-01-21T14:01:00"/>
    <x v="1"/>
    <n v="14439"/>
    <x v="16"/>
    <n v="19.799999999999997"/>
  </r>
  <r>
    <n v="493375"/>
    <n v="21691"/>
    <x v="522"/>
    <x v="49"/>
    <d v="2009-12-23T12:07:00"/>
    <x v="16"/>
    <n v="15514"/>
    <x v="1"/>
    <n v="7.5"/>
  </r>
  <r>
    <n v="495706"/>
    <s v="72807A"/>
    <x v="523"/>
    <x v="1"/>
    <d v="2010-01-26T13:04:00"/>
    <x v="25"/>
    <n v="15003"/>
    <x v="1"/>
    <n v="4.25"/>
  </r>
  <r>
    <n v="536408"/>
    <n v="22619"/>
    <x v="524"/>
    <x v="7"/>
    <d v="2010-12-01T11:41:00"/>
    <x v="16"/>
    <n v="14307"/>
    <x v="1"/>
    <n v="15"/>
  </r>
  <r>
    <n v="535803"/>
    <n v="22988"/>
    <x v="525"/>
    <x v="4"/>
    <d v="2010-11-28T14:57:00"/>
    <x v="3"/>
    <n v="14410"/>
    <x v="1"/>
    <n v="30"/>
  </r>
  <r>
    <n v="521546"/>
    <n v="22588"/>
    <x v="195"/>
    <x v="0"/>
    <d v="2010-09-06T15:28:00"/>
    <x v="4"/>
    <n v="13769"/>
    <x v="1"/>
    <n v="15.299999999999999"/>
  </r>
  <r>
    <n v="516788"/>
    <n v="20914"/>
    <x v="46"/>
    <x v="42"/>
    <d v="2010-07-23T10:00:00"/>
    <x v="4"/>
    <n v="16843"/>
    <x v="1"/>
    <n v="81.599999999999994"/>
  </r>
  <r>
    <n v="494870"/>
    <s v="84970S"/>
    <x v="429"/>
    <x v="3"/>
    <d v="2010-01-19T12:15:00"/>
    <x v="11"/>
    <n v="15998"/>
    <x v="1"/>
    <n v="10.199999999999999"/>
  </r>
  <r>
    <n v="490156"/>
    <n v="84692"/>
    <x v="526"/>
    <x v="34"/>
    <d v="2009-12-04T10:32:00"/>
    <x v="17"/>
    <n v="13093"/>
    <x v="1"/>
    <n v="21"/>
  </r>
  <r>
    <n v="494632"/>
    <n v="21213"/>
    <x v="173"/>
    <x v="4"/>
    <s v="01/15/2010 16:53"/>
    <x v="70"/>
    <n v="15633"/>
    <x v="1"/>
    <n v="13.200000000000001"/>
  </r>
  <r>
    <n v="520196"/>
    <s v="15060B"/>
    <x v="527"/>
    <x v="5"/>
    <d v="2010-08-24T14:59:00"/>
    <x v="16"/>
    <n v="16161"/>
    <x v="1"/>
    <n v="11.25"/>
  </r>
  <r>
    <n v="496288"/>
    <n v="21700"/>
    <x v="528"/>
    <x v="3"/>
    <d v="2010-01-29T17:25:00"/>
    <x v="11"/>
    <n v="17603"/>
    <x v="1"/>
    <n v="10.199999999999999"/>
  </r>
  <r>
    <n v="510546"/>
    <n v="84674"/>
    <x v="529"/>
    <x v="2"/>
    <d v="2010-06-01T15:45:00"/>
    <x v="0"/>
    <n v="13110"/>
    <x v="1"/>
    <n v="5.9"/>
  </r>
  <r>
    <n v="508483"/>
    <s v="84997C"/>
    <x v="289"/>
    <x v="1"/>
    <d v="2010-05-16T12:51:00"/>
    <x v="16"/>
    <n v="17841"/>
    <x v="1"/>
    <n v="3.75"/>
  </r>
  <r>
    <n v="496977"/>
    <n v="82600"/>
    <x v="192"/>
    <x v="3"/>
    <d v="2010-02-05T09:49:00"/>
    <x v="9"/>
    <n v="13823"/>
    <x v="1"/>
    <n v="25.200000000000003"/>
  </r>
  <r>
    <n v="509151"/>
    <s v="15044A"/>
    <x v="530"/>
    <x v="1"/>
    <d v="2010-05-20T13:06:00"/>
    <x v="0"/>
    <n v="14606"/>
    <x v="1"/>
    <n v="2.95"/>
  </r>
  <r>
    <n v="514630"/>
    <n v="82581"/>
    <x v="531"/>
    <x v="0"/>
    <d v="2010-07-05T12:34:00"/>
    <x v="29"/>
    <n v="16458"/>
    <x v="1"/>
    <n v="3.3000000000000003"/>
  </r>
  <r>
    <n v="508484"/>
    <n v="22061"/>
    <x v="347"/>
    <x v="1"/>
    <d v="2010-05-16T12:54:00"/>
    <x v="45"/>
    <n v="17582"/>
    <x v="1"/>
    <n v="9.9499999999999993"/>
  </r>
  <r>
    <n v="498132"/>
    <n v="21410"/>
    <x v="532"/>
    <x v="1"/>
    <d v="2010-02-16T16:53:00"/>
    <x v="25"/>
    <n v="16774"/>
    <x v="1"/>
    <n v="4.25"/>
  </r>
  <r>
    <n v="529547"/>
    <n v="21212"/>
    <x v="367"/>
    <x v="4"/>
    <d v="2010-10-28T17:13:00"/>
    <x v="29"/>
    <n v="14276"/>
    <x v="1"/>
    <n v="13.200000000000001"/>
  </r>
  <r>
    <n v="536235"/>
    <n v="20655"/>
    <x v="533"/>
    <x v="2"/>
    <d v="2010-11-30T14:21:00"/>
    <x v="60"/>
    <n v="18101"/>
    <x v="1"/>
    <n v="2.5"/>
  </r>
  <r>
    <n v="523065"/>
    <n v="21486"/>
    <x v="534"/>
    <x v="2"/>
    <d v="2010-09-20T12:05:00"/>
    <x v="16"/>
    <n v="16919"/>
    <x v="1"/>
    <n v="7.5"/>
  </r>
  <r>
    <n v="491717"/>
    <s v="35597B"/>
    <x v="535"/>
    <x v="1"/>
    <d v="2009-12-13T15:54:00"/>
    <x v="3"/>
    <n v="16725"/>
    <x v="1"/>
    <n v="1.25"/>
  </r>
  <r>
    <n v="512411"/>
    <n v="21777"/>
    <x v="2"/>
    <x v="23"/>
    <d v="2010-06-15T13:19:00"/>
    <x v="64"/>
    <n v="14156"/>
    <x v="0"/>
    <n v="333.6"/>
  </r>
  <r>
    <n v="526889"/>
    <s v="85049G"/>
    <x v="518"/>
    <x v="50"/>
    <d v="2010-10-13T14:39:00"/>
    <x v="3"/>
    <n v="14667"/>
    <x v="1"/>
    <n v="13.75"/>
  </r>
  <r>
    <n v="521901"/>
    <n v="21989"/>
    <x v="536"/>
    <x v="5"/>
    <d v="2010-09-09T12:37:00"/>
    <x v="11"/>
    <n v="14688"/>
    <x v="1"/>
    <n v="2.5499999999999998"/>
  </r>
  <r>
    <n v="526484"/>
    <n v="22403"/>
    <x v="537"/>
    <x v="3"/>
    <d v="2010-10-12T07:49:00"/>
    <x v="3"/>
    <n v="17710"/>
    <x v="1"/>
    <n v="15"/>
  </r>
  <r>
    <n v="514563"/>
    <n v="22411"/>
    <x v="145"/>
    <x v="11"/>
    <d v="2010-07-05T11:48:00"/>
    <x v="5"/>
    <n v="15039"/>
    <x v="1"/>
    <n v="19.5"/>
  </r>
  <r>
    <n v="526388"/>
    <n v="21669"/>
    <x v="538"/>
    <x v="1"/>
    <d v="2010-10-11T12:52:00"/>
    <x v="3"/>
    <n v="17264"/>
    <x v="1"/>
    <n v="1.25"/>
  </r>
  <r>
    <n v="513615"/>
    <n v="21843"/>
    <x v="539"/>
    <x v="2"/>
    <d v="2010-06-27T12:25:00"/>
    <x v="46"/>
    <n v="15998"/>
    <x v="1"/>
    <n v="21.9"/>
  </r>
  <r>
    <n v="514511"/>
    <n v="21982"/>
    <x v="540"/>
    <x v="3"/>
    <d v="2010-07-04T13:31:00"/>
    <x v="32"/>
    <n v="16032"/>
    <x v="1"/>
    <n v="3.4799999999999995"/>
  </r>
  <r>
    <n v="498095"/>
    <n v="22318"/>
    <x v="0"/>
    <x v="7"/>
    <d v="2010-02-16T12:50:00"/>
    <x v="0"/>
    <n v="16940"/>
    <x v="1"/>
    <n v="11.8"/>
  </r>
  <r>
    <n v="507405"/>
    <n v="72741"/>
    <x v="286"/>
    <x v="20"/>
    <d v="2010-05-09T13:44:00"/>
    <x v="42"/>
    <n v="15109"/>
    <x v="1"/>
    <n v="26.099999999999998"/>
  </r>
  <r>
    <n v="512949"/>
    <n v="21034"/>
    <x v="298"/>
    <x v="1"/>
    <d v="2010-06-20T16:06:00"/>
    <x v="54"/>
    <n v="15555"/>
    <x v="1"/>
    <n v="0.95"/>
  </r>
  <r>
    <n v="506873"/>
    <n v="85060"/>
    <x v="541"/>
    <x v="4"/>
    <d v="2010-05-04T16:18:00"/>
    <x v="3"/>
    <n v="17188"/>
    <x v="1"/>
    <n v="30"/>
  </r>
  <r>
    <n v="536214"/>
    <n v="22149"/>
    <x v="326"/>
    <x v="0"/>
    <d v="2010-11-30T13:34:00"/>
    <x v="9"/>
    <n v="16600"/>
    <x v="1"/>
    <n v="12.600000000000001"/>
  </r>
  <r>
    <s v="C504182"/>
    <s v="85035A"/>
    <x v="542"/>
    <x v="13"/>
    <d v="2010-04-12T08:59:00"/>
    <x v="25"/>
    <n v="16554"/>
    <x v="1"/>
    <n v="-4.25"/>
  </r>
  <r>
    <n v="490685"/>
    <s v="72750D"/>
    <x v="543"/>
    <x v="42"/>
    <d v="2009-12-07T13:48:00"/>
    <x v="5"/>
    <n v="13206"/>
    <x v="1"/>
    <n v="62.4"/>
  </r>
  <r>
    <n v="529323"/>
    <n v="22697"/>
    <x v="516"/>
    <x v="5"/>
    <s v="27-10-2010 14:05"/>
    <x v="0"/>
    <n v="16713"/>
    <x v="1"/>
    <n v="8.8500000000000014"/>
  </r>
  <r>
    <n v="517712"/>
    <s v="85232B"/>
    <x v="544"/>
    <x v="0"/>
    <d v="2010-08-01T11:17:00"/>
    <x v="24"/>
    <n v="13564"/>
    <x v="1"/>
    <n v="29.700000000000003"/>
  </r>
  <r>
    <n v="514809"/>
    <n v="22636"/>
    <x v="545"/>
    <x v="51"/>
    <d v="2010-07-06T11:44:00"/>
    <x v="71"/>
    <n v="12678"/>
    <x v="3"/>
    <n v="397.8"/>
  </r>
  <r>
    <n v="490705"/>
    <n v="22083"/>
    <x v="7"/>
    <x v="52"/>
    <d v="2009-12-07T14:56:00"/>
    <x v="4"/>
    <n v="12913"/>
    <x v="1"/>
    <n v="102"/>
  </r>
  <r>
    <n v="503730"/>
    <n v="84691"/>
    <x v="546"/>
    <x v="3"/>
    <s v="04/07/2010 10:02"/>
    <x v="11"/>
    <n v="17563"/>
    <x v="1"/>
    <n v="10.199999999999999"/>
  </r>
  <r>
    <n v="535787"/>
    <n v="22969"/>
    <x v="547"/>
    <x v="3"/>
    <d v="2010-11-28T14:14:00"/>
    <x v="42"/>
    <n v="13295"/>
    <x v="1"/>
    <n v="17.399999999999999"/>
  </r>
  <r>
    <n v="530540"/>
    <s v="85099F"/>
    <x v="439"/>
    <x v="11"/>
    <d v="2010-11-03T13:05:00"/>
    <x v="5"/>
    <n v="12793"/>
    <x v="13"/>
    <n v="19.5"/>
  </r>
  <r>
    <n v="505969"/>
    <n v="22171"/>
    <x v="548"/>
    <x v="1"/>
    <d v="2010-04-26T16:36:00"/>
    <x v="20"/>
    <n v="17231"/>
    <x v="1"/>
    <n v="8.5"/>
  </r>
  <r>
    <n v="507840"/>
    <n v="21175"/>
    <x v="73"/>
    <x v="5"/>
    <d v="2010-05-11T13:38:00"/>
    <x v="9"/>
    <n v="16487"/>
    <x v="1"/>
    <n v="6.3000000000000007"/>
  </r>
  <r>
    <n v="519580"/>
    <n v="21770"/>
    <x v="549"/>
    <x v="1"/>
    <d v="2010-08-18T13:11:00"/>
    <x v="24"/>
    <n v="16675"/>
    <x v="1"/>
    <n v="4.95"/>
  </r>
  <r>
    <n v="519691"/>
    <s v="84997D"/>
    <x v="550"/>
    <x v="1"/>
    <d v="2010-08-19T13:32:00"/>
    <x v="16"/>
    <n v="17841"/>
    <x v="1"/>
    <n v="3.75"/>
  </r>
  <r>
    <n v="489562"/>
    <n v="22139"/>
    <x v="86"/>
    <x v="1"/>
    <d v="2009-12-01T13:07:00"/>
    <x v="24"/>
    <n v="17998"/>
    <x v="1"/>
    <n v="4.95"/>
  </r>
  <r>
    <n v="524708"/>
    <n v="22086"/>
    <x v="551"/>
    <x v="0"/>
    <d v="2010-09-30T12:38:00"/>
    <x v="0"/>
    <n v="13394"/>
    <x v="1"/>
    <n v="17.700000000000003"/>
  </r>
  <r>
    <n v="501542"/>
    <n v="22356"/>
    <x v="552"/>
    <x v="53"/>
    <d v="2010-03-17T14:27:00"/>
    <x v="11"/>
    <n v="16004"/>
    <x v="1"/>
    <n v="25.5"/>
  </r>
  <r>
    <n v="506254"/>
    <n v="21156"/>
    <x v="53"/>
    <x v="27"/>
    <d v="2010-04-28T13:59:00"/>
    <x v="5"/>
    <n v="12714"/>
    <x v="3"/>
    <n v="31.2"/>
  </r>
  <r>
    <n v="498046"/>
    <n v="21283"/>
    <x v="553"/>
    <x v="7"/>
    <d v="2010-02-16T10:44:00"/>
    <x v="21"/>
    <n v="15051"/>
    <x v="1"/>
    <n v="13"/>
  </r>
  <r>
    <n v="517977"/>
    <n v="22666"/>
    <x v="554"/>
    <x v="1"/>
    <d v="2010-08-03T14:23:00"/>
    <x v="0"/>
    <n v="16938"/>
    <x v="1"/>
    <n v="2.95"/>
  </r>
  <r>
    <n v="532088"/>
    <n v="21039"/>
    <x v="555"/>
    <x v="0"/>
    <s v="10-11-2010 15:34"/>
    <x v="4"/>
    <n v="12583"/>
    <x v="3"/>
    <n v="15.299999999999999"/>
  </r>
  <r>
    <n v="532803"/>
    <s v="90036D"/>
    <x v="556"/>
    <x v="7"/>
    <d v="2010-11-14T14:57:00"/>
    <x v="2"/>
    <n v="17544"/>
    <x v="1"/>
    <n v="31.8"/>
  </r>
  <r>
    <n v="504890"/>
    <n v="22098"/>
    <x v="557"/>
    <x v="1"/>
    <d v="2010-04-18T13:53:00"/>
    <x v="3"/>
    <n v="14415"/>
    <x v="1"/>
    <n v="1.25"/>
  </r>
  <r>
    <n v="527759"/>
    <n v="21181"/>
    <x v="368"/>
    <x v="4"/>
    <d v="2010-10-18T17:11:00"/>
    <x v="9"/>
    <n v="14572"/>
    <x v="1"/>
    <n v="50.400000000000006"/>
  </r>
  <r>
    <n v="537594"/>
    <n v="22244"/>
    <x v="558"/>
    <x v="3"/>
    <d v="2010-12-07T12:28:00"/>
    <x v="5"/>
    <n v="12647"/>
    <x v="2"/>
    <n v="23.4"/>
  </r>
  <r>
    <n v="506957"/>
    <n v="22719"/>
    <x v="559"/>
    <x v="5"/>
    <d v="2010-05-05T11:53:00"/>
    <x v="3"/>
    <n v="18231"/>
    <x v="21"/>
    <n v="3.75"/>
  </r>
  <r>
    <n v="531468"/>
    <n v="22158"/>
    <x v="560"/>
    <x v="5"/>
    <d v="2010-11-08T13:58:00"/>
    <x v="0"/>
    <n v="14821"/>
    <x v="1"/>
    <n v="8.8500000000000014"/>
  </r>
  <r>
    <n v="495369"/>
    <n v="84879"/>
    <x v="92"/>
    <x v="27"/>
    <d v="2010-01-24T12:31:00"/>
    <x v="33"/>
    <n v="13527"/>
    <x v="1"/>
    <n v="27.04"/>
  </r>
  <r>
    <n v="498222"/>
    <n v="72741"/>
    <x v="286"/>
    <x v="40"/>
    <d v="2010-02-17T14:01:00"/>
    <x v="42"/>
    <n v="14584"/>
    <x v="1"/>
    <n v="13.049999999999999"/>
  </r>
  <r>
    <n v="523626"/>
    <n v="21084"/>
    <x v="561"/>
    <x v="3"/>
    <d v="2010-09-23T11:26:00"/>
    <x v="18"/>
    <n v="17735"/>
    <x v="1"/>
    <n v="7.8000000000000007"/>
  </r>
  <r>
    <n v="521159"/>
    <s v="85099B"/>
    <x v="198"/>
    <x v="53"/>
    <d v="2010-09-02T13:57:00"/>
    <x v="5"/>
    <n v="16779"/>
    <x v="1"/>
    <n v="58.5"/>
  </r>
  <r>
    <n v="533143"/>
    <n v="22355"/>
    <x v="562"/>
    <x v="11"/>
    <d v="2010-11-16T13:28:00"/>
    <x v="11"/>
    <n v="12766"/>
    <x v="13"/>
    <n v="8.5"/>
  </r>
  <r>
    <n v="507664"/>
    <n v="85141"/>
    <x v="563"/>
    <x v="2"/>
    <d v="2010-05-10T17:03:00"/>
    <x v="49"/>
    <n v="17871"/>
    <x v="1"/>
    <n v="21.5"/>
  </r>
  <r>
    <n v="518848"/>
    <n v="21463"/>
    <x v="444"/>
    <x v="2"/>
    <d v="2010-08-12T11:50:00"/>
    <x v="6"/>
    <n v="15298"/>
    <x v="1"/>
    <n v="11.9"/>
  </r>
  <r>
    <n v="508468"/>
    <n v="22430"/>
    <x v="564"/>
    <x v="15"/>
    <d v="2010-05-16T10:46:00"/>
    <x v="24"/>
    <n v="14060"/>
    <x v="1"/>
    <n v="24.75"/>
  </r>
  <r>
    <n v="521367"/>
    <n v="20972"/>
    <x v="381"/>
    <x v="3"/>
    <d v="2010-09-05T11:04:00"/>
    <x v="3"/>
    <n v="14753"/>
    <x v="1"/>
    <n v="15"/>
  </r>
  <r>
    <s v="C528587"/>
    <n v="22806"/>
    <x v="565"/>
    <x v="54"/>
    <d v="2010-10-22T14:03:00"/>
    <x v="4"/>
    <n v="13316"/>
    <x v="1"/>
    <n v="-122.39999999999999"/>
  </r>
  <r>
    <n v="537254"/>
    <n v="22149"/>
    <x v="326"/>
    <x v="2"/>
    <d v="2010-12-06T11:01:00"/>
    <x v="9"/>
    <n v="15898"/>
    <x v="1"/>
    <n v="4.2"/>
  </r>
  <r>
    <n v="512946"/>
    <s v="84534B"/>
    <x v="566"/>
    <x v="7"/>
    <d v="2010-06-20T15:32:00"/>
    <x v="11"/>
    <n v="17625"/>
    <x v="1"/>
    <n v="3.4"/>
  </r>
  <r>
    <n v="501657"/>
    <n v="21894"/>
    <x v="567"/>
    <x v="1"/>
    <d v="2010-03-18T13:10:00"/>
    <x v="3"/>
    <n v="13243"/>
    <x v="1"/>
    <n v="1.25"/>
  </r>
  <r>
    <n v="535953"/>
    <s v="85099B"/>
    <x v="198"/>
    <x v="11"/>
    <d v="2010-11-29T12:13:00"/>
    <x v="5"/>
    <n v="15039"/>
    <x v="1"/>
    <n v="19.5"/>
  </r>
  <r>
    <n v="533827"/>
    <n v="22543"/>
    <x v="568"/>
    <x v="4"/>
    <d v="2010-11-19T10:05:00"/>
    <x v="17"/>
    <n v="12670"/>
    <x v="3"/>
    <n v="10.08"/>
  </r>
  <r>
    <n v="532802"/>
    <n v="84692"/>
    <x v="526"/>
    <x v="5"/>
    <d v="2010-11-14T14:56:00"/>
    <x v="17"/>
    <n v="17255"/>
    <x v="1"/>
    <n v="1.26"/>
  </r>
  <r>
    <n v="489574"/>
    <n v="21893"/>
    <x v="569"/>
    <x v="5"/>
    <d v="2009-12-01T13:31:00"/>
    <x v="25"/>
    <n v="13097"/>
    <x v="1"/>
    <n v="12.75"/>
  </r>
  <r>
    <n v="494679"/>
    <n v="22179"/>
    <x v="462"/>
    <x v="2"/>
    <d v="2010-01-18T10:23:00"/>
    <x v="31"/>
    <n v="12877"/>
    <x v="1"/>
    <n v="13.5"/>
  </r>
  <r>
    <n v="527284"/>
    <n v="85161"/>
    <x v="570"/>
    <x v="1"/>
    <d v="2010-10-15T13:43:00"/>
    <x v="72"/>
    <n v="12748"/>
    <x v="1"/>
    <n v="18.95"/>
  </r>
  <r>
    <n v="495237"/>
    <n v="22355"/>
    <x v="60"/>
    <x v="11"/>
    <d v="2010-01-22T09:44:00"/>
    <x v="11"/>
    <n v="17160"/>
    <x v="1"/>
    <n v="8.5"/>
  </r>
  <r>
    <n v="532290"/>
    <n v="22677"/>
    <x v="571"/>
    <x v="11"/>
    <d v="2010-11-11T13:26:00"/>
    <x v="3"/>
    <n v="17675"/>
    <x v="1"/>
    <n v="12.5"/>
  </r>
  <r>
    <n v="493432"/>
    <s v="85132B"/>
    <x v="572"/>
    <x v="2"/>
    <d v="2010-01-04T12:30:00"/>
    <x v="45"/>
    <n v="14680"/>
    <x v="1"/>
    <n v="19.899999999999999"/>
  </r>
  <r>
    <n v="513750"/>
    <n v="22534"/>
    <x v="573"/>
    <x v="2"/>
    <d v="2010-06-28T12:38:00"/>
    <x v="17"/>
    <n v="17019"/>
    <x v="1"/>
    <n v="0.84"/>
  </r>
  <r>
    <n v="509973"/>
    <s v="15044D"/>
    <x v="574"/>
    <x v="0"/>
    <d v="2010-05-26T13:35:00"/>
    <x v="0"/>
    <n v="14938"/>
    <x v="12"/>
    <n v="17.700000000000003"/>
  </r>
  <r>
    <n v="513830"/>
    <n v="22417"/>
    <x v="327"/>
    <x v="4"/>
    <d v="2010-06-29T10:54:00"/>
    <x v="29"/>
    <n v="13089"/>
    <x v="1"/>
    <n v="13.200000000000001"/>
  </r>
  <r>
    <n v="505721"/>
    <n v="21657"/>
    <x v="575"/>
    <x v="1"/>
    <d v="2010-04-25T13:40:00"/>
    <x v="64"/>
    <n v="15055"/>
    <x v="1"/>
    <n v="6.95"/>
  </r>
  <r>
    <n v="506000"/>
    <n v="21896"/>
    <x v="576"/>
    <x v="55"/>
    <d v="2010-04-27T10:56:00"/>
    <x v="9"/>
    <n v="16088"/>
    <x v="1"/>
    <n v="54.6"/>
  </r>
  <r>
    <n v="513975"/>
    <n v="22649"/>
    <x v="577"/>
    <x v="2"/>
    <d v="2010-06-29T16:43:00"/>
    <x v="24"/>
    <n v="13451"/>
    <x v="1"/>
    <n v="9.9"/>
  </r>
  <r>
    <n v="525073"/>
    <s v="POST"/>
    <x v="578"/>
    <x v="2"/>
    <d v="2010-10-03T14:52:00"/>
    <x v="73"/>
    <n v="12490"/>
    <x v="3"/>
    <n v="36"/>
  </r>
  <r>
    <s v="C500705"/>
    <n v="20761"/>
    <x v="579"/>
    <x v="30"/>
    <d v="2010-03-09T13:46:00"/>
    <x v="16"/>
    <n v="14748"/>
    <x v="1"/>
    <n v="-15"/>
  </r>
  <r>
    <n v="531754"/>
    <n v="22767"/>
    <x v="580"/>
    <x v="49"/>
    <d v="2010-11-09T13:17:00"/>
    <x v="45"/>
    <n v="16977"/>
    <x v="1"/>
    <n v="19.899999999999999"/>
  </r>
  <r>
    <n v="498827"/>
    <s v="47599B"/>
    <x v="581"/>
    <x v="39"/>
    <d v="2010-02-23T11:36:00"/>
    <x v="33"/>
    <n v="13798"/>
    <x v="1"/>
    <n v="169"/>
  </r>
  <r>
    <n v="493050"/>
    <n v="21479"/>
    <x v="305"/>
    <x v="1"/>
    <d v="2009-12-21T16:24:00"/>
    <x v="16"/>
    <n v="17377"/>
    <x v="1"/>
    <n v="3.75"/>
  </r>
  <r>
    <n v="515192"/>
    <n v="21115"/>
    <x v="582"/>
    <x v="5"/>
    <d v="2010-07-09T10:26:00"/>
    <x v="31"/>
    <n v="18225"/>
    <x v="1"/>
    <n v="20.25"/>
  </r>
  <r>
    <n v="502848"/>
    <n v="82486"/>
    <x v="583"/>
    <x v="2"/>
    <d v="2010-03-28T14:04:00"/>
    <x v="2"/>
    <n v="15570"/>
    <x v="1"/>
    <n v="15.9"/>
  </r>
  <r>
    <n v="530302"/>
    <n v="22411"/>
    <x v="145"/>
    <x v="11"/>
    <d v="2010-11-02T13:07:00"/>
    <x v="5"/>
    <n v="17003"/>
    <x v="1"/>
    <n v="19.5"/>
  </r>
  <r>
    <n v="503432"/>
    <n v="22468"/>
    <x v="437"/>
    <x v="0"/>
    <d v="2010-04-01T08:34:00"/>
    <x v="31"/>
    <n v="17739"/>
    <x v="1"/>
    <n v="40.5"/>
  </r>
  <r>
    <n v="493716"/>
    <n v="21614"/>
    <x v="584"/>
    <x v="0"/>
    <d v="2010-01-05T16:50:00"/>
    <x v="0"/>
    <n v="17364"/>
    <x v="1"/>
    <n v="17.700000000000003"/>
  </r>
  <r>
    <n v="498107"/>
    <n v="21930"/>
    <x v="31"/>
    <x v="11"/>
    <d v="2010-02-16T13:57:00"/>
    <x v="5"/>
    <n v="15078"/>
    <x v="1"/>
    <n v="19.5"/>
  </r>
  <r>
    <n v="532964"/>
    <n v="22510"/>
    <x v="585"/>
    <x v="1"/>
    <d v="2010-11-15T12:43:00"/>
    <x v="16"/>
    <n v="15493"/>
    <x v="1"/>
    <n v="3.75"/>
  </r>
  <r>
    <n v="523132"/>
    <s v="90199C"/>
    <x v="586"/>
    <x v="2"/>
    <d v="2010-09-20T14:02:00"/>
    <x v="74"/>
    <n v="17167"/>
    <x v="1"/>
    <n v="12.7"/>
  </r>
  <r>
    <n v="493326"/>
    <n v="21527"/>
    <x v="587"/>
    <x v="4"/>
    <d v="2009-12-23T09:20:00"/>
    <x v="64"/>
    <n v="18092"/>
    <x v="1"/>
    <n v="166.8"/>
  </r>
  <r>
    <n v="527266"/>
    <n v="20724"/>
    <x v="588"/>
    <x v="11"/>
    <d v="2010-10-15T12:52:00"/>
    <x v="11"/>
    <n v="15005"/>
    <x v="1"/>
    <n v="8.5"/>
  </r>
  <r>
    <n v="500857"/>
    <n v="20718"/>
    <x v="438"/>
    <x v="5"/>
    <d v="2010-03-10T12:23:00"/>
    <x v="3"/>
    <n v="15911"/>
    <x v="1"/>
    <n v="3.75"/>
  </r>
  <r>
    <n v="505636"/>
    <n v="84992"/>
    <x v="288"/>
    <x v="4"/>
    <d v="2010-04-23T13:23:00"/>
    <x v="29"/>
    <n v="14755"/>
    <x v="1"/>
    <n v="13.200000000000001"/>
  </r>
  <r>
    <n v="525077"/>
    <n v="22375"/>
    <x v="473"/>
    <x v="0"/>
    <d v="2010-10-03T15:30:00"/>
    <x v="25"/>
    <n v="16485"/>
    <x v="1"/>
    <n v="25.5"/>
  </r>
  <r>
    <n v="522384"/>
    <n v="21977"/>
    <x v="451"/>
    <x v="4"/>
    <d v="2010-09-14T11:08:00"/>
    <x v="29"/>
    <n v="15673"/>
    <x v="1"/>
    <n v="13.200000000000001"/>
  </r>
  <r>
    <n v="511474"/>
    <s v="84910A"/>
    <x v="589"/>
    <x v="2"/>
    <d v="2010-06-08T13:27:00"/>
    <x v="6"/>
    <n v="16791"/>
    <x v="1"/>
    <n v="11.9"/>
  </r>
  <r>
    <n v="511864"/>
    <n v="84991"/>
    <x v="489"/>
    <x v="1"/>
    <d v="2010-06-11T10:23:00"/>
    <x v="29"/>
    <n v="15910"/>
    <x v="1"/>
    <n v="0.55000000000000004"/>
  </r>
  <r>
    <n v="535457"/>
    <n v="84879"/>
    <x v="92"/>
    <x v="40"/>
    <d v="2010-11-26T12:56:00"/>
    <x v="33"/>
    <n v="15028"/>
    <x v="1"/>
    <n v="15.209999999999999"/>
  </r>
  <r>
    <n v="521958"/>
    <n v="21239"/>
    <x v="590"/>
    <x v="8"/>
    <d v="2010-09-09T18:14:00"/>
    <x v="11"/>
    <n v="12708"/>
    <x v="2"/>
    <n v="6.8"/>
  </r>
  <r>
    <n v="521896"/>
    <n v="22197"/>
    <x v="591"/>
    <x v="3"/>
    <d v="2010-09-09T12:19:00"/>
    <x v="11"/>
    <n v="12682"/>
    <x v="3"/>
    <n v="10.199999999999999"/>
  </r>
  <r>
    <n v="517336"/>
    <n v="20975"/>
    <x v="592"/>
    <x v="7"/>
    <d v="2010-07-28T13:36:00"/>
    <x v="18"/>
    <n v="13590"/>
    <x v="1"/>
    <n v="2.6"/>
  </r>
  <r>
    <n v="503251"/>
    <n v="21590"/>
    <x v="247"/>
    <x v="4"/>
    <s v="31-03-2010 10:32"/>
    <x v="3"/>
    <n v="15754"/>
    <x v="1"/>
    <n v="30"/>
  </r>
  <r>
    <n v="530323"/>
    <n v="22776"/>
    <x v="593"/>
    <x v="1"/>
    <d v="2010-11-02T13:36:00"/>
    <x v="45"/>
    <n v="16255"/>
    <x v="1"/>
    <n v="9.9499999999999993"/>
  </r>
  <r>
    <n v="505364"/>
    <n v="35644"/>
    <x v="594"/>
    <x v="7"/>
    <d v="2010-04-21T15:46:00"/>
    <x v="5"/>
    <n v="14395"/>
    <x v="1"/>
    <n v="7.8"/>
  </r>
  <r>
    <n v="517960"/>
    <n v="22386"/>
    <x v="595"/>
    <x v="11"/>
    <d v="2010-08-03T12:32:00"/>
    <x v="5"/>
    <n v="14841"/>
    <x v="1"/>
    <n v="19.5"/>
  </r>
  <r>
    <n v="510141"/>
    <n v="21158"/>
    <x v="596"/>
    <x v="1"/>
    <d v="2010-05-27T12:30:00"/>
    <x v="42"/>
    <n v="14069"/>
    <x v="1"/>
    <n v="1.45"/>
  </r>
  <r>
    <n v="525433"/>
    <n v="21755"/>
    <x v="258"/>
    <x v="5"/>
    <d v="2010-10-05T13:15:00"/>
    <x v="6"/>
    <n v="14180"/>
    <x v="1"/>
    <n v="17.850000000000001"/>
  </r>
  <r>
    <n v="534160"/>
    <n v="21107"/>
    <x v="494"/>
    <x v="1"/>
    <d v="2010-11-21T12:55:00"/>
    <x v="0"/>
    <n v="12858"/>
    <x v="1"/>
    <n v="2.95"/>
  </r>
  <r>
    <n v="505496"/>
    <n v="22554"/>
    <x v="597"/>
    <x v="3"/>
    <d v="2010-04-22T13:26:00"/>
    <x v="1"/>
    <n v="15651"/>
    <x v="1"/>
    <n v="19.799999999999997"/>
  </r>
  <r>
    <n v="524420"/>
    <n v="21744"/>
    <x v="598"/>
    <x v="3"/>
    <d v="2010-09-29T10:22:00"/>
    <x v="0"/>
    <n v="16293"/>
    <x v="1"/>
    <n v="35.400000000000006"/>
  </r>
  <r>
    <n v="518767"/>
    <n v="21870"/>
    <x v="133"/>
    <x v="3"/>
    <d v="2010-08-11T14:50:00"/>
    <x v="3"/>
    <n v="17469"/>
    <x v="1"/>
    <n v="15"/>
  </r>
  <r>
    <n v="517487"/>
    <n v="22332"/>
    <x v="599"/>
    <x v="5"/>
    <d v="2010-07-29T12:34:00"/>
    <x v="1"/>
    <n v="16779"/>
    <x v="1"/>
    <n v="4.9499999999999993"/>
  </r>
  <r>
    <n v="527819"/>
    <n v="22147"/>
    <x v="279"/>
    <x v="1"/>
    <d v="2010-10-19T11:22:00"/>
    <x v="42"/>
    <n v="16515"/>
    <x v="1"/>
    <n v="1.45"/>
  </r>
  <r>
    <n v="505615"/>
    <n v="22328"/>
    <x v="55"/>
    <x v="36"/>
    <d v="2010-04-23T12:49:00"/>
    <x v="0"/>
    <n v="15288"/>
    <x v="1"/>
    <n v="2.95"/>
  </r>
  <r>
    <n v="534720"/>
    <n v="22777"/>
    <x v="600"/>
    <x v="2"/>
    <d v="2010-11-23T17:53:00"/>
    <x v="20"/>
    <n v="14154"/>
    <x v="1"/>
    <n v="17"/>
  </r>
  <r>
    <n v="533551"/>
    <n v="85048"/>
    <x v="601"/>
    <x v="1"/>
    <d v="2010-11-17T17:08:00"/>
    <x v="2"/>
    <n v="17576"/>
    <x v="1"/>
    <n v="7.95"/>
  </r>
  <r>
    <n v="503361"/>
    <n v="22063"/>
    <x v="358"/>
    <x v="0"/>
    <d v="2010-03-31T14:03:00"/>
    <x v="0"/>
    <n v="17049"/>
    <x v="1"/>
    <n v="17.700000000000003"/>
  </r>
  <r>
    <n v="489866"/>
    <n v="82482"/>
    <x v="602"/>
    <x v="5"/>
    <d v="2009-12-02T15:04:00"/>
    <x v="4"/>
    <n v="16200"/>
    <x v="1"/>
    <n v="7.6499999999999995"/>
  </r>
  <r>
    <n v="497798"/>
    <s v="47590B"/>
    <x v="603"/>
    <x v="5"/>
    <d v="2010-02-12T13:22:00"/>
    <x v="12"/>
    <n v="12695"/>
    <x v="3"/>
    <n v="16.350000000000001"/>
  </r>
  <r>
    <n v="508117"/>
    <n v="22109"/>
    <x v="604"/>
    <x v="8"/>
    <d v="2010-05-13T10:46:00"/>
    <x v="16"/>
    <n v="18197"/>
    <x v="1"/>
    <n v="30"/>
  </r>
  <r>
    <n v="524879"/>
    <n v="22608"/>
    <x v="605"/>
    <x v="6"/>
    <d v="2010-10-01T10:45:00"/>
    <x v="11"/>
    <n v="16101"/>
    <x v="1"/>
    <n v="30.599999999999998"/>
  </r>
  <r>
    <n v="504157"/>
    <n v="84773"/>
    <x v="606"/>
    <x v="1"/>
    <d v="2010-04-11T15:34:00"/>
    <x v="0"/>
    <n v="17221"/>
    <x v="1"/>
    <n v="2.95"/>
  </r>
  <r>
    <n v="491497"/>
    <n v="21175"/>
    <x v="73"/>
    <x v="23"/>
    <d v="2009-12-11T12:17:00"/>
    <x v="8"/>
    <n v="17409"/>
    <x v="1"/>
    <n v="88.800000000000011"/>
  </r>
  <r>
    <n v="512827"/>
    <n v="21931"/>
    <x v="314"/>
    <x v="14"/>
    <d v="2010-06-18T11:34:00"/>
    <x v="5"/>
    <n v="15981"/>
    <x v="1"/>
    <n v="39"/>
  </r>
  <r>
    <n v="526746"/>
    <s v="85099B"/>
    <x v="198"/>
    <x v="11"/>
    <d v="2010-10-13T09:20:00"/>
    <x v="5"/>
    <n v="13985"/>
    <x v="1"/>
    <n v="19.5"/>
  </r>
  <r>
    <n v="502419"/>
    <n v="84880"/>
    <x v="607"/>
    <x v="2"/>
    <d v="2010-03-24T12:15:00"/>
    <x v="6"/>
    <n v="16300"/>
    <x v="1"/>
    <n v="11.9"/>
  </r>
  <r>
    <n v="534631"/>
    <n v="22516"/>
    <x v="608"/>
    <x v="1"/>
    <d v="2010-11-23T12:57:00"/>
    <x v="9"/>
    <n v="18047"/>
    <x v="1"/>
    <n v="2.1"/>
  </r>
  <r>
    <n v="489866"/>
    <n v="85151"/>
    <x v="609"/>
    <x v="15"/>
    <d v="2009-12-02T15:04:00"/>
    <x v="3"/>
    <n v="16200"/>
    <x v="18"/>
    <n v="6.25"/>
  </r>
  <r>
    <n v="529850"/>
    <n v="21827"/>
    <x v="610"/>
    <x v="5"/>
    <d v="2010-10-31T13:35:00"/>
    <x v="3"/>
    <n v="16788"/>
    <x v="1"/>
    <n v="3.75"/>
  </r>
  <r>
    <n v="490669"/>
    <s v="84029E"/>
    <x v="355"/>
    <x v="2"/>
    <d v="2009-12-07T12:42:00"/>
    <x v="16"/>
    <n v="15716"/>
    <x v="1"/>
    <n v="7.5"/>
  </r>
  <r>
    <s v="C524398"/>
    <n v="85141"/>
    <x v="563"/>
    <x v="13"/>
    <d v="2010-09-28T18:37:00"/>
    <x v="49"/>
    <n v="13980"/>
    <x v="1"/>
    <n v="-10.75"/>
  </r>
  <r>
    <n v="526201"/>
    <s v="84952B"/>
    <x v="611"/>
    <x v="0"/>
    <d v="2010-10-10T13:06:00"/>
    <x v="16"/>
    <n v="14820"/>
    <x v="1"/>
    <n v="22.5"/>
  </r>
  <r>
    <n v="534512"/>
    <n v="84678"/>
    <x v="612"/>
    <x v="0"/>
    <d v="2010-11-23T11:51:00"/>
    <x v="4"/>
    <n v="14679"/>
    <x v="1"/>
    <n v="15.299999999999999"/>
  </r>
  <r>
    <n v="507398"/>
    <n v="22507"/>
    <x v="613"/>
    <x v="2"/>
    <d v="2010-05-09T13:15:00"/>
    <x v="24"/>
    <n v="17913"/>
    <x v="1"/>
    <n v="9.9"/>
  </r>
  <r>
    <n v="496427"/>
    <n v="21746"/>
    <x v="614"/>
    <x v="5"/>
    <d v="2010-02-01T12:13:00"/>
    <x v="3"/>
    <n v="17841"/>
    <x v="1"/>
    <n v="3.75"/>
  </r>
  <r>
    <n v="530014"/>
    <n v="20676"/>
    <x v="615"/>
    <x v="7"/>
    <d v="2010-11-01T10:37:00"/>
    <x v="3"/>
    <s v="17238"/>
    <x v="1"/>
    <n v="5"/>
  </r>
  <r>
    <n v="511357"/>
    <n v="21669"/>
    <x v="538"/>
    <x v="3"/>
    <d v="2010-06-08T10:59:00"/>
    <x v="3"/>
    <n v="17849"/>
    <x v="1"/>
    <n v="15"/>
  </r>
  <r>
    <s v="C528904"/>
    <n v="22667"/>
    <x v="616"/>
    <x v="56"/>
    <d v="2010-10-25T13:21:00"/>
    <x v="0"/>
    <n v="13502"/>
    <x v="1"/>
    <n v="-5.9"/>
  </r>
  <r>
    <n v="505847"/>
    <n v="47505"/>
    <x v="617"/>
    <x v="5"/>
    <d v="2010-04-26T12:11:00"/>
    <x v="24"/>
    <n v="14710"/>
    <x v="1"/>
    <n v="14.850000000000001"/>
  </r>
  <r>
    <n v="518902"/>
    <n v="22591"/>
    <x v="618"/>
    <x v="7"/>
    <d v="2010-08-12T14:15:00"/>
    <x v="4"/>
    <n v="14461"/>
    <x v="1"/>
    <n v="10.199999999999999"/>
  </r>
  <r>
    <n v="532725"/>
    <n v="22121"/>
    <x v="619"/>
    <x v="2"/>
    <d v="2010-11-14T12:59:00"/>
    <x v="6"/>
    <n v="16983"/>
    <x v="1"/>
    <n v="11.9"/>
  </r>
  <r>
    <n v="515115"/>
    <n v="21936"/>
    <x v="620"/>
    <x v="1"/>
    <d v="2010-07-08T13:07:00"/>
    <x v="0"/>
    <n v="16383"/>
    <x v="1"/>
    <n v="2.95"/>
  </r>
  <r>
    <n v="497732"/>
    <s v="84926C"/>
    <x v="621"/>
    <x v="7"/>
    <d v="2010-02-11T18:36:00"/>
    <x v="3"/>
    <n v="13291"/>
    <x v="1"/>
    <n v="5"/>
  </r>
  <r>
    <n v="506285"/>
    <n v="21651"/>
    <x v="42"/>
    <x v="0"/>
    <d v="2010-04-28T16:49:00"/>
    <x v="1"/>
    <n v="16767"/>
    <x v="1"/>
    <n v="9.8999999999999986"/>
  </r>
  <r>
    <n v="536618"/>
    <n v="22943"/>
    <x v="622"/>
    <x v="37"/>
    <d v="2010-12-02T10:17:00"/>
    <x v="25"/>
    <n v="17017"/>
    <x v="1"/>
    <n v="102"/>
  </r>
  <r>
    <n v="538056"/>
    <s v="90195A"/>
    <x v="623"/>
    <x v="7"/>
    <d v="2010-12-09T13:34:00"/>
    <x v="52"/>
    <n v="17198"/>
    <x v="1"/>
    <n v="35.799999999999997"/>
  </r>
  <r>
    <n v="523586"/>
    <n v="22470"/>
    <x v="109"/>
    <x v="52"/>
    <d v="2010-09-23T08:54:00"/>
    <x v="4"/>
    <n v="14648"/>
    <x v="1"/>
    <n v="102"/>
  </r>
  <r>
    <n v="534232"/>
    <n v="84879"/>
    <x v="92"/>
    <x v="27"/>
    <d v="2010-11-22T10:03:00"/>
    <x v="33"/>
    <n v="17782"/>
    <x v="1"/>
    <n v="27.04"/>
  </r>
  <r>
    <n v="531566"/>
    <n v="84879"/>
    <x v="92"/>
    <x v="4"/>
    <s v="09-11-2010 10:29"/>
    <x v="33"/>
    <n v="14902"/>
    <x v="1"/>
    <n v="40.56"/>
  </r>
  <r>
    <n v="513768"/>
    <n v="22606"/>
    <x v="624"/>
    <x v="7"/>
    <d v="2010-06-28T13:43:00"/>
    <x v="14"/>
    <n v="17667"/>
    <x v="1"/>
    <n v="51"/>
  </r>
  <r>
    <n v="523309"/>
    <n v="20712"/>
    <x v="38"/>
    <x v="11"/>
    <d v="2010-09-21T13:08:00"/>
    <x v="5"/>
    <n v="14156"/>
    <x v="0"/>
    <n v="19.5"/>
  </r>
  <r>
    <n v="519602"/>
    <s v="85123A"/>
    <x v="100"/>
    <x v="0"/>
    <d v="2010-08-18T16:00:00"/>
    <x v="0"/>
    <n v="18226"/>
    <x v="1"/>
    <n v="17.700000000000003"/>
  </r>
  <r>
    <n v="524207"/>
    <n v="20702"/>
    <x v="390"/>
    <x v="0"/>
    <d v="2010-09-28T10:35:00"/>
    <x v="25"/>
    <n v="12648"/>
    <x v="2"/>
    <n v="25.5"/>
  </r>
  <r>
    <n v="516111"/>
    <n v="48187"/>
    <x v="625"/>
    <x v="2"/>
    <d v="2010-07-16T13:21:00"/>
    <x v="10"/>
    <n v="13728"/>
    <x v="1"/>
    <n v="14.98"/>
  </r>
  <r>
    <n v="534091"/>
    <n v="22945"/>
    <x v="626"/>
    <x v="20"/>
    <d v="2010-11-21T11:58:00"/>
    <x v="11"/>
    <n v="14499"/>
    <x v="1"/>
    <n v="15.299999999999999"/>
  </r>
  <r>
    <n v="519404"/>
    <n v="22557"/>
    <x v="627"/>
    <x v="19"/>
    <d v="2010-08-17T08:56:00"/>
    <x v="42"/>
    <n v="14646"/>
    <x v="9"/>
    <n v="139.19999999999999"/>
  </r>
  <r>
    <n v="532993"/>
    <n v="16235"/>
    <x v="628"/>
    <x v="43"/>
    <d v="2010-11-15T14:26:00"/>
    <x v="48"/>
    <n v="14156"/>
    <x v="0"/>
    <n v="12.6"/>
  </r>
  <r>
    <n v="525068"/>
    <n v="35965"/>
    <x v="629"/>
    <x v="0"/>
    <d v="2010-10-03T14:37:00"/>
    <x v="0"/>
    <n v="15579"/>
    <x v="1"/>
    <n v="17.700000000000003"/>
  </r>
  <r>
    <n v="505499"/>
    <n v="21429"/>
    <x v="630"/>
    <x v="8"/>
    <d v="2010-04-22T13:36:00"/>
    <x v="1"/>
    <n v="16862"/>
    <x v="1"/>
    <n v="13.2"/>
  </r>
  <r>
    <n v="512426"/>
    <n v="22469"/>
    <x v="487"/>
    <x v="7"/>
    <d v="2010-06-15T15:00:00"/>
    <x v="1"/>
    <n v="13168"/>
    <x v="1"/>
    <n v="6.6"/>
  </r>
  <r>
    <n v="532821"/>
    <n v="22441"/>
    <x v="182"/>
    <x v="15"/>
    <d v="2010-11-14T16:32:00"/>
    <x v="9"/>
    <n v="14382"/>
    <x v="1"/>
    <n v="10.5"/>
  </r>
  <r>
    <n v="511501"/>
    <n v="21109"/>
    <x v="631"/>
    <x v="1"/>
    <d v="2010-06-08T14:52:00"/>
    <x v="31"/>
    <n v="15532"/>
    <x v="1"/>
    <n v="6.75"/>
  </r>
  <r>
    <n v="500347"/>
    <n v="21788"/>
    <x v="632"/>
    <x v="4"/>
    <d v="2010-03-07T14:52:00"/>
    <x v="11"/>
    <n v="15631"/>
    <x v="1"/>
    <n v="20.399999999999999"/>
  </r>
  <r>
    <n v="528737"/>
    <n v="82600"/>
    <x v="192"/>
    <x v="3"/>
    <d v="2010-10-24T14:06:00"/>
    <x v="9"/>
    <n v="18065"/>
    <x v="1"/>
    <n v="25.200000000000003"/>
  </r>
  <r>
    <n v="517106"/>
    <n v="22493"/>
    <x v="633"/>
    <x v="15"/>
    <d v="2010-07-26T15:17:00"/>
    <x v="1"/>
    <n v="12867"/>
    <x v="1"/>
    <n v="8.25"/>
  </r>
  <r>
    <n v="531806"/>
    <n v="22904"/>
    <x v="153"/>
    <x v="5"/>
    <d v="2010-11-09T16:10:00"/>
    <x v="0"/>
    <n v="17757"/>
    <x v="1"/>
    <n v="8.8500000000000014"/>
  </r>
  <r>
    <n v="537050"/>
    <n v="22551"/>
    <x v="634"/>
    <x v="2"/>
    <d v="2010-12-05T11:10:00"/>
    <x v="1"/>
    <n v="14800"/>
    <x v="1"/>
    <n v="3.3"/>
  </r>
  <r>
    <n v="531439"/>
    <s v="82494L"/>
    <x v="165"/>
    <x v="0"/>
    <d v="2010-11-08T12:22:00"/>
    <x v="0"/>
    <s v="12748"/>
    <x v="1"/>
    <n v="17.700000000000003"/>
  </r>
  <r>
    <n v="502764"/>
    <n v="21284"/>
    <x v="635"/>
    <x v="3"/>
    <d v="2010-03-26T14:01:00"/>
    <x v="33"/>
    <n v="12477"/>
    <x v="2"/>
    <n v="20.28"/>
  </r>
  <r>
    <n v="503295"/>
    <n v="22326"/>
    <x v="636"/>
    <x v="0"/>
    <s v="31/03/2010 11:40"/>
    <x v="0"/>
    <n v="13179"/>
    <x v="1"/>
    <n v="17.700000000000003"/>
  </r>
  <r>
    <n v="532798"/>
    <n v="22026"/>
    <x v="412"/>
    <x v="3"/>
    <d v="2010-11-14T14:47:00"/>
    <x v="17"/>
    <n v="17544"/>
    <x v="1"/>
    <n v="5.04"/>
  </r>
  <r>
    <n v="498570"/>
    <n v="22202"/>
    <x v="637"/>
    <x v="1"/>
    <d v="2010-02-21T12:52:00"/>
    <x v="16"/>
    <n v="15059"/>
    <x v="1"/>
    <n v="3.75"/>
  </r>
  <r>
    <n v="490461"/>
    <n v="22218"/>
    <x v="434"/>
    <x v="2"/>
    <d v="2009-12-06T12:07:00"/>
    <x v="25"/>
    <n v="13736"/>
    <x v="1"/>
    <n v="8.5"/>
  </r>
  <r>
    <n v="523369"/>
    <n v="21527"/>
    <x v="638"/>
    <x v="0"/>
    <d v="2010-09-21T18:30:00"/>
    <x v="2"/>
    <n v="14113"/>
    <x v="1"/>
    <n v="47.7"/>
  </r>
  <r>
    <n v="499874"/>
    <n v="21390"/>
    <x v="639"/>
    <x v="4"/>
    <d v="2010-03-03T08:42:00"/>
    <x v="3"/>
    <n v="16556"/>
    <x v="1"/>
    <n v="30"/>
  </r>
  <r>
    <n v="503987"/>
    <n v="22198"/>
    <x v="640"/>
    <x v="23"/>
    <d v="2010-04-09T10:17:00"/>
    <x v="1"/>
    <n v="14961"/>
    <x v="1"/>
    <n v="79.199999999999989"/>
  </r>
  <r>
    <n v="496609"/>
    <s v="85185C"/>
    <x v="641"/>
    <x v="7"/>
    <d v="2010-02-02T16:42:00"/>
    <x v="0"/>
    <n v="17092"/>
    <x v="1"/>
    <n v="11.8"/>
  </r>
  <r>
    <n v="523513"/>
    <n v="71477"/>
    <x v="51"/>
    <x v="0"/>
    <d v="2010-09-22T12:38:00"/>
    <x v="75"/>
    <n v="17850"/>
    <x v="1"/>
    <n v="16.5"/>
  </r>
  <r>
    <n v="531352"/>
    <s v=" 22383 "/>
    <x v="497"/>
    <x v="15"/>
    <d v="2010-11-07T13:45:00"/>
    <x v="1"/>
    <n v="13137"/>
    <x v="1"/>
    <n v="8.25"/>
  </r>
  <r>
    <n v="515595"/>
    <n v="84836"/>
    <x v="3"/>
    <x v="4"/>
    <d v="2010-07-13T13:50:00"/>
    <x v="3"/>
    <s v="13089"/>
    <x v="1"/>
    <n v="30"/>
  </r>
  <r>
    <n v="512332"/>
    <n v="22491"/>
    <x v="642"/>
    <x v="3"/>
    <d v="2010-06-15T11:42:00"/>
    <x v="11"/>
    <n v="15358"/>
    <x v="1"/>
    <n v="10.199999999999999"/>
  </r>
  <r>
    <n v="536535"/>
    <n v="22311"/>
    <x v="643"/>
    <x v="0"/>
    <d v="2010-12-01T13:38:00"/>
    <x v="0"/>
    <n v="15605"/>
    <x v="1"/>
    <n v="17.700000000000003"/>
  </r>
  <r>
    <n v="507289"/>
    <n v="21171"/>
    <x v="413"/>
    <x v="5"/>
    <d v="2010-05-07T14:02:00"/>
    <x v="42"/>
    <n v="14535"/>
    <x v="1"/>
    <n v="4.3499999999999996"/>
  </r>
  <r>
    <n v="527407"/>
    <n v="22451"/>
    <x v="459"/>
    <x v="1"/>
    <d v="2010-10-17T14:44:00"/>
    <x v="68"/>
    <n v="17141"/>
    <x v="1"/>
    <n v="3.35"/>
  </r>
  <r>
    <n v="505340"/>
    <n v="21519"/>
    <x v="315"/>
    <x v="3"/>
    <d v="2010-04-21T13:20:00"/>
    <x v="61"/>
    <n v="17448"/>
    <x v="1"/>
    <n v="4.32"/>
  </r>
  <r>
    <n v="490281"/>
    <n v="48185"/>
    <x v="644"/>
    <x v="2"/>
    <d v="2009-12-04T12:37:00"/>
    <x v="31"/>
    <n v="13481"/>
    <x v="1"/>
    <n v="13.5"/>
  </r>
  <r>
    <n v="494866"/>
    <n v="22261"/>
    <x v="645"/>
    <x v="15"/>
    <d v="2010-01-19T11:20:00"/>
    <x v="11"/>
    <n v="16253"/>
    <x v="1"/>
    <n v="4.25"/>
  </r>
  <r>
    <n v="495415"/>
    <s v="85023B"/>
    <x v="646"/>
    <x v="0"/>
    <d v="2010-01-25T11:32:00"/>
    <x v="4"/>
    <n v="18199"/>
    <x v="1"/>
    <n v="15.299999999999999"/>
  </r>
  <r>
    <n v="519881"/>
    <n v="21932"/>
    <x v="647"/>
    <x v="15"/>
    <d v="2010-08-22T11:28:00"/>
    <x v="0"/>
    <n v="16275"/>
    <x v="1"/>
    <n v="14.75"/>
  </r>
  <r>
    <n v="490542"/>
    <s v="C2"/>
    <x v="648"/>
    <x v="1"/>
    <d v="2009-12-07T09:42:00"/>
    <x v="76"/>
    <n v="14911"/>
    <x v="0"/>
    <n v="50"/>
  </r>
  <r>
    <n v="525030"/>
    <n v="22577"/>
    <x v="445"/>
    <x v="57"/>
    <d v="2010-10-03T12:18:00"/>
    <x v="11"/>
    <n v="15351"/>
    <x v="1"/>
    <n v="11.049999999999999"/>
  </r>
  <r>
    <n v="495029"/>
    <n v="22293"/>
    <x v="649"/>
    <x v="5"/>
    <d v="2010-01-20T14:03:00"/>
    <x v="42"/>
    <n v="16085"/>
    <x v="1"/>
    <n v="4.3499999999999996"/>
  </r>
  <r>
    <n v="516193"/>
    <n v="82551"/>
    <x v="486"/>
    <x v="3"/>
    <d v="2010-07-19T10:02:00"/>
    <x v="3"/>
    <n v="12696"/>
    <x v="22"/>
    <n v="15"/>
  </r>
  <r>
    <n v="520336"/>
    <n v="84879"/>
    <x v="92"/>
    <x v="8"/>
    <d v="2010-08-25T12:39:00"/>
    <x v="33"/>
    <n v="16019"/>
    <x v="1"/>
    <n v="13.52"/>
  </r>
  <r>
    <n v="529522"/>
    <n v="22178"/>
    <x v="134"/>
    <x v="3"/>
    <d v="2010-10-28T15:37:00"/>
    <x v="3"/>
    <n v="14303"/>
    <x v="1"/>
    <n v="15"/>
  </r>
  <r>
    <s v=" 520877 "/>
    <n v="21467"/>
    <x v="650"/>
    <x v="1"/>
    <d v="2010-08-31T15:28:00"/>
    <x v="16"/>
    <n v="17346"/>
    <x v="1"/>
    <n v="3.75"/>
  </r>
  <r>
    <n v="519586"/>
    <n v="21733"/>
    <x v="651"/>
    <x v="0"/>
    <d v="2010-08-18T13:58:00"/>
    <x v="0"/>
    <n v="15764"/>
    <x v="1"/>
    <n v="17.700000000000003"/>
  </r>
  <r>
    <n v="530953"/>
    <n v="21231"/>
    <x v="364"/>
    <x v="7"/>
    <d v="2010-11-04T18:42:00"/>
    <x v="3"/>
    <n v="18168"/>
    <x v="1"/>
    <n v="5"/>
  </r>
  <r>
    <n v="492839"/>
    <n v="82600"/>
    <x v="192"/>
    <x v="5"/>
    <d v="2009-12-21T11:08:00"/>
    <x v="9"/>
    <n v="14085"/>
    <x v="1"/>
    <n v="6.3000000000000007"/>
  </r>
  <r>
    <n v="520484"/>
    <n v="20685"/>
    <x v="652"/>
    <x v="2"/>
    <s v="26/08/2010 11:43"/>
    <x v="10"/>
    <n v="14930"/>
    <x v="12"/>
    <n v="14.98"/>
  </r>
  <r>
    <n v="524534"/>
    <n v="22816"/>
    <x v="653"/>
    <x v="4"/>
    <d v="2010-09-29T13:35:00"/>
    <x v="17"/>
    <n v="14510"/>
    <x v="1"/>
    <n v="10.08"/>
  </r>
  <r>
    <n v="532821"/>
    <n v="20961"/>
    <x v="102"/>
    <x v="2"/>
    <d v="2010-11-14T16:32:00"/>
    <x v="60"/>
    <n v="14382"/>
    <x v="1"/>
    <n v="2.5"/>
  </r>
  <r>
    <n v="491800"/>
    <n v="21268"/>
    <x v="654"/>
    <x v="23"/>
    <d v="2009-12-14T12:58:00"/>
    <x v="17"/>
    <n v="17511"/>
    <x v="1"/>
    <n v="20.16"/>
  </r>
  <r>
    <n v="532989"/>
    <n v="22271"/>
    <x v="655"/>
    <x v="1"/>
    <d v="2010-11-15T14:09:00"/>
    <x v="0"/>
    <s v="14451"/>
    <x v="1"/>
    <n v="2.95"/>
  </r>
  <r>
    <s v="C501330"/>
    <n v="22109"/>
    <x v="604"/>
    <x v="13"/>
    <d v="2010-03-16T10:07:00"/>
    <x v="16"/>
    <s v="16558"/>
    <x v="1"/>
    <n v="-3.75"/>
  </r>
  <r>
    <n v="504717"/>
    <n v="22605"/>
    <x v="65"/>
    <x v="7"/>
    <d v="2010-04-16T10:49:00"/>
    <x v="46"/>
    <n v="16098"/>
    <x v="1"/>
    <n v="43.8"/>
  </r>
  <r>
    <n v="513964"/>
    <s v="84997D"/>
    <x v="550"/>
    <x v="0"/>
    <d v="2010-06-29T15:17:00"/>
    <x v="16"/>
    <n v="12380"/>
    <x v="5"/>
    <n v="22.5"/>
  </r>
  <r>
    <n v="510360"/>
    <n v="22090"/>
    <x v="400"/>
    <x v="1"/>
    <d v="2010-05-28T16:11:00"/>
    <x v="0"/>
    <n v="14104"/>
    <x v="1"/>
    <n v="2.95"/>
  </r>
  <r>
    <n v="524323"/>
    <n v="22726"/>
    <x v="275"/>
    <x v="7"/>
    <d v="2010-09-28T14:41:00"/>
    <x v="16"/>
    <n v="12476"/>
    <x v="2"/>
    <n v="15"/>
  </r>
  <r>
    <n v="521974"/>
    <n v="21156"/>
    <x v="9"/>
    <x v="2"/>
    <d v="2010-09-09T19:56:00"/>
    <x v="5"/>
    <n v="15861"/>
    <x v="1"/>
    <n v="3.9"/>
  </r>
  <r>
    <n v="532764"/>
    <n v="22576"/>
    <x v="185"/>
    <x v="1"/>
    <d v="2010-11-14T14:07:00"/>
    <x v="11"/>
    <n v="14684"/>
    <x v="1"/>
    <n v="0.85"/>
  </r>
  <r>
    <n v="498696"/>
    <s v="84762B"/>
    <x v="656"/>
    <x v="1"/>
    <d v="2010-02-22T12:05:00"/>
    <x v="49"/>
    <n v="16619"/>
    <x v="1"/>
    <n v="10.75"/>
  </r>
  <r>
    <n v="501665"/>
    <s v="85099B"/>
    <x v="657"/>
    <x v="11"/>
    <d v="2010-03-18T14:14:00"/>
    <x v="5"/>
    <n v="16108"/>
    <x v="1"/>
    <n v="19.5"/>
  </r>
  <r>
    <n v="534003"/>
    <n v="21587"/>
    <x v="658"/>
    <x v="1"/>
    <d v="2010-11-19T14:27:00"/>
    <x v="4"/>
    <s v="17589"/>
    <x v="1"/>
    <n v="2.5499999999999998"/>
  </r>
  <r>
    <n v="530350"/>
    <n v="84773"/>
    <x v="606"/>
    <x v="2"/>
    <d v="2010-11-02T15:48:00"/>
    <x v="0"/>
    <n v="14506"/>
    <x v="1"/>
    <n v="5.9"/>
  </r>
  <r>
    <n v="526204"/>
    <n v="22750"/>
    <x v="403"/>
    <x v="5"/>
    <d v="2010-10-10T13:23:00"/>
    <x v="16"/>
    <n v="14040"/>
    <x v="1"/>
    <n v="11.25"/>
  </r>
  <r>
    <n v="500338"/>
    <n v="21889"/>
    <x v="248"/>
    <x v="2"/>
    <d v="2010-03-07T14:05:00"/>
    <x v="3"/>
    <n v="13276"/>
    <x v="1"/>
    <n v="2.5"/>
  </r>
  <r>
    <n v="511266"/>
    <n v="21544"/>
    <x v="659"/>
    <x v="2"/>
    <d v="2010-06-07T12:51:00"/>
    <x v="11"/>
    <n v="14534"/>
    <x v="1"/>
    <n v="1.7"/>
  </r>
  <r>
    <n v="513762"/>
    <n v="22558"/>
    <x v="660"/>
    <x v="4"/>
    <d v="2010-06-28T12:58:00"/>
    <x v="3"/>
    <n v="12451"/>
    <x v="17"/>
    <n v="30"/>
  </r>
  <r>
    <n v="522086"/>
    <n v="22582"/>
    <x v="274"/>
    <x v="0"/>
    <d v="2010-09-12T12:00:00"/>
    <x v="4"/>
    <n v="16042"/>
    <x v="1"/>
    <n v="15.299999999999999"/>
  </r>
  <r>
    <n v="536213"/>
    <n v="22469"/>
    <x v="487"/>
    <x v="11"/>
    <d v="2010-11-30T13:33:00"/>
    <x v="1"/>
    <n v="18170"/>
    <x v="1"/>
    <n v="16.5"/>
  </r>
  <r>
    <n v="501320"/>
    <n v="22331"/>
    <x v="222"/>
    <x v="8"/>
    <d v="2010-03-16T09:49:00"/>
    <x v="1"/>
    <n v="15123"/>
    <x v="1"/>
    <n v="13.2"/>
  </r>
  <r>
    <n v="496341"/>
    <n v="22236"/>
    <x v="48"/>
    <x v="2"/>
    <d v="2010-01-31T15:47:00"/>
    <x v="14"/>
    <n v="17107"/>
    <x v="1"/>
    <n v="25.5"/>
  </r>
  <r>
    <n v="492540"/>
    <n v="22124"/>
    <x v="661"/>
    <x v="1"/>
    <d v="2009-12-17T13:36:00"/>
    <x v="0"/>
    <n v="15005"/>
    <x v="4"/>
    <n v="2.95"/>
  </r>
  <r>
    <n v="496338"/>
    <n v="85047"/>
    <x v="268"/>
    <x v="0"/>
    <d v="2010-01-31T15:34:00"/>
    <x v="53"/>
    <n v="17230"/>
    <x v="1"/>
    <n v="38.099999999999994"/>
  </r>
  <r>
    <n v="501884"/>
    <s v="90160C"/>
    <x v="662"/>
    <x v="1"/>
    <d v="2010-03-21T14:04:00"/>
    <x v="64"/>
    <n v="17611"/>
    <x v="1"/>
    <n v="6.95"/>
  </r>
  <r>
    <n v="501168"/>
    <n v="21716"/>
    <x v="663"/>
    <x v="8"/>
    <d v="2010-03-15T10:03:00"/>
    <x v="4"/>
    <n v="13883"/>
    <x v="1"/>
    <n v="20.399999999999999"/>
  </r>
  <r>
    <n v="499465"/>
    <n v="22071"/>
    <x v="664"/>
    <x v="5"/>
    <d v="2010-02-28T11:33:00"/>
    <x v="16"/>
    <n v="14807"/>
    <x v="1"/>
    <n v="11.25"/>
  </r>
  <r>
    <n v="535981"/>
    <n v="21259"/>
    <x v="665"/>
    <x v="7"/>
    <d v="2010-11-29T13:09:00"/>
    <x v="6"/>
    <n v="18109"/>
    <x v="1"/>
    <n v="23.8"/>
  </r>
  <r>
    <n v="526207"/>
    <n v="21351"/>
    <x v="352"/>
    <x v="27"/>
    <d v="2010-10-10T13:31:00"/>
    <x v="5"/>
    <n v="15547"/>
    <x v="1"/>
    <n v="31.2"/>
  </r>
  <r>
    <n v="525013"/>
    <n v="22577"/>
    <x v="445"/>
    <x v="3"/>
    <d v="2010-10-03T11:15:00"/>
    <x v="11"/>
    <n v="14911"/>
    <x v="0"/>
    <n v="10.199999999999999"/>
  </r>
  <r>
    <n v="516157"/>
    <n v="22382"/>
    <x v="666"/>
    <x v="2"/>
    <d v="2010-07-18T11:49:00"/>
    <x v="1"/>
    <n v="17261"/>
    <x v="1"/>
    <n v="3.3"/>
  </r>
  <r>
    <n v="537393"/>
    <n v="21485"/>
    <x v="667"/>
    <x v="23"/>
    <d v="2010-12-06T13:59:00"/>
    <x v="25"/>
    <n v="13089"/>
    <x v="1"/>
    <n v="204"/>
  </r>
  <r>
    <n v="513426"/>
    <n v="21203"/>
    <x v="668"/>
    <x v="0"/>
    <d v="2010-06-24T13:01:00"/>
    <x v="1"/>
    <n v="17142"/>
    <x v="1"/>
    <n v="9.8999999999999986"/>
  </r>
  <r>
    <n v="495072"/>
    <n v="22195"/>
    <x v="669"/>
    <x v="3"/>
    <d v="2010-01-21T08:22:00"/>
    <x v="1"/>
    <n v="14215"/>
    <x v="1"/>
    <n v="19.799999999999997"/>
  </r>
  <r>
    <n v="528438"/>
    <n v="22363"/>
    <x v="670"/>
    <x v="0"/>
    <d v="2010-10-22T10:40:00"/>
    <x v="0"/>
    <n v="12419"/>
    <x v="20"/>
    <n v="17.700000000000003"/>
  </r>
  <r>
    <n v="491186"/>
    <n v="21491"/>
    <x v="671"/>
    <x v="2"/>
    <d v="2009-12-10T12:21:00"/>
    <x v="5"/>
    <n v="15889"/>
    <x v="1"/>
    <n v="3.9"/>
  </r>
  <r>
    <n v="496340"/>
    <n v="21426"/>
    <x v="88"/>
    <x v="0"/>
    <d v="2010-01-31T15:45:00"/>
    <x v="9"/>
    <n v="12668"/>
    <x v="2"/>
    <n v="12.600000000000001"/>
  </r>
  <r>
    <n v="533968"/>
    <n v="84580"/>
    <x v="80"/>
    <x v="1"/>
    <d v="2010-11-19T13:14:00"/>
    <x v="16"/>
    <n v="13884"/>
    <x v="1"/>
    <n v="3.75"/>
  </r>
  <r>
    <n v="506114"/>
    <n v="82583"/>
    <x v="672"/>
    <x v="3"/>
    <d v="2010-04-27T13:48:00"/>
    <x v="9"/>
    <n v="13001"/>
    <x v="1"/>
    <n v="25.200000000000003"/>
  </r>
  <r>
    <n v="531945"/>
    <s v="85123A"/>
    <x v="100"/>
    <x v="3"/>
    <d v="2010-11-10T12:16:00"/>
    <x v="0"/>
    <n v="12997"/>
    <x v="1"/>
    <n v="35.400000000000006"/>
  </r>
  <r>
    <n v="521822"/>
    <s v="15056BL"/>
    <x v="28"/>
    <x v="40"/>
    <d v="2010-09-09T10:37:00"/>
    <x v="6"/>
    <n v="12714"/>
    <x v="3"/>
    <n v="53.550000000000004"/>
  </r>
  <r>
    <n v="509100"/>
    <n v="20978"/>
    <x v="673"/>
    <x v="1"/>
    <d v="2010-05-20T11:49:00"/>
    <x v="3"/>
    <n v="17841"/>
    <x v="1"/>
    <n v="1.25"/>
  </r>
  <r>
    <n v="493812"/>
    <s v="84993B"/>
    <x v="674"/>
    <x v="4"/>
    <d v="2010-01-07T11:52:00"/>
    <x v="17"/>
    <n v="13081"/>
    <x v="1"/>
    <n v="10.08"/>
  </r>
  <r>
    <n v="511772"/>
    <n v="21670"/>
    <x v="465"/>
    <x v="3"/>
    <d v="2010-06-10T12:14:00"/>
    <x v="3"/>
    <n v="17491"/>
    <x v="1"/>
    <n v="15"/>
  </r>
  <r>
    <n v="505380"/>
    <n v="85042"/>
    <x v="485"/>
    <x v="8"/>
    <d v="2010-04-22T08:36:00"/>
    <x v="24"/>
    <n v="17675"/>
    <x v="1"/>
    <n v="39.6"/>
  </r>
  <r>
    <n v="511174"/>
    <n v="22078"/>
    <x v="675"/>
    <x v="9"/>
    <d v="2010-06-07T12:08:00"/>
    <x v="9"/>
    <n v="15249"/>
    <x v="1"/>
    <n v="21"/>
  </r>
  <r>
    <n v="506246"/>
    <n v="22090"/>
    <x v="400"/>
    <x v="0"/>
    <d v="2010-04-28T13:23:00"/>
    <x v="0"/>
    <n v="14194"/>
    <x v="1"/>
    <n v="17.700000000000003"/>
  </r>
  <r>
    <n v="508996"/>
    <n v="21363"/>
    <x v="676"/>
    <x v="0"/>
    <d v="2010-05-19T12:52:00"/>
    <x v="24"/>
    <n v="13982"/>
    <x v="1"/>
    <n v="29.700000000000003"/>
  </r>
  <r>
    <n v="491178"/>
    <n v="85152"/>
    <x v="677"/>
    <x v="15"/>
    <d v="2009-12-10T11:55:00"/>
    <x v="9"/>
    <n v="14099"/>
    <x v="1"/>
    <n v="10.5"/>
  </r>
  <r>
    <n v="502608"/>
    <n v="47566"/>
    <x v="29"/>
    <x v="32"/>
    <d v="2010-03-25T13:53:00"/>
    <x v="15"/>
    <n v="13001"/>
    <x v="1"/>
    <n v="69.75"/>
  </r>
  <r>
    <n v="513625"/>
    <n v="84755"/>
    <x v="678"/>
    <x v="3"/>
    <d v="2010-06-27T13:09:00"/>
    <x v="18"/>
    <n v="14505"/>
    <x v="1"/>
    <n v="7.8000000000000007"/>
  </r>
  <r>
    <n v="518224"/>
    <n v="21746"/>
    <x v="679"/>
    <x v="4"/>
    <d v="2010-08-05T14:11:00"/>
    <x v="3"/>
    <n v="15400"/>
    <x v="1"/>
    <n v="30"/>
  </r>
  <r>
    <n v="516944"/>
    <n v="22089"/>
    <x v="680"/>
    <x v="0"/>
    <d v="2010-07-25T14:57:00"/>
    <x v="0"/>
    <n v="15260"/>
    <x v="1"/>
    <n v="17.700000000000003"/>
  </r>
  <r>
    <n v="528757"/>
    <n v="82551"/>
    <x v="486"/>
    <x v="3"/>
    <d v="2010-10-24T15:28:00"/>
    <x v="42"/>
    <n v="12720"/>
    <x v="2"/>
    <n v="17.399999999999999"/>
  </r>
  <r>
    <n v="533959"/>
    <n v="20966"/>
    <x v="237"/>
    <x v="11"/>
    <d v="2010-11-19T12:56:00"/>
    <x v="3"/>
    <n v="12921"/>
    <x v="1"/>
    <n v="12.5"/>
  </r>
  <r>
    <n v="510416"/>
    <s v="47566B"/>
    <x v="681"/>
    <x v="7"/>
    <d v="2010-05-30T11:21:00"/>
    <x v="15"/>
    <n v="13113"/>
    <x v="1"/>
    <n v="18.600000000000001"/>
  </r>
  <r>
    <n v="510450"/>
    <n v="22565"/>
    <x v="682"/>
    <x v="3"/>
    <d v="2010-06-01T09:42:00"/>
    <x v="11"/>
    <n v="14857"/>
    <x v="1"/>
    <n v="10.199999999999999"/>
  </r>
  <r>
    <n v="520196"/>
    <n v="21481"/>
    <x v="683"/>
    <x v="7"/>
    <d v="2010-08-24T14:59:00"/>
    <x v="0"/>
    <n v="16161"/>
    <x v="1"/>
    <n v="11.8"/>
  </r>
  <r>
    <n v="492296"/>
    <n v="84950"/>
    <x v="297"/>
    <x v="3"/>
    <d v="2009-12-16T11:53:00"/>
    <x v="11"/>
    <n v="14667"/>
    <x v="1"/>
    <n v="10.199999999999999"/>
  </r>
  <r>
    <n v="524944"/>
    <n v="21134"/>
    <x v="684"/>
    <x v="2"/>
    <s v="01-10-2010 12:24"/>
    <x v="1"/>
    <n v="15276"/>
    <x v="1"/>
    <n v="3.3"/>
  </r>
  <r>
    <n v="501444"/>
    <n v="22617"/>
    <x v="118"/>
    <x v="5"/>
    <d v="2010-03-16T14:08:00"/>
    <x v="24"/>
    <n v="17716"/>
    <x v="1"/>
    <n v="14.850000000000001"/>
  </r>
  <r>
    <n v="502272"/>
    <n v="21166"/>
    <x v="685"/>
    <x v="1"/>
    <d v="2010-03-23T15:47:00"/>
    <x v="5"/>
    <n v="14344"/>
    <x v="1"/>
    <n v="1.95"/>
  </r>
  <r>
    <n v="503255"/>
    <n v="48194"/>
    <x v="686"/>
    <x v="2"/>
    <d v="2010-03-31T10:49:00"/>
    <x v="10"/>
    <n v="13709"/>
    <x v="1"/>
    <n v="14.98"/>
  </r>
  <r>
    <n v="489532"/>
    <n v="84990"/>
    <x v="687"/>
    <x v="4"/>
    <d v="2009-12-01T11:58:00"/>
    <x v="29"/>
    <n v="13394"/>
    <x v="1"/>
    <n v="13.200000000000001"/>
  </r>
  <r>
    <n v="536063"/>
    <n v="22114"/>
    <x v="688"/>
    <x v="7"/>
    <d v="2010-11-30T10:40:00"/>
    <x v="39"/>
    <n v="15796"/>
    <x v="1"/>
    <n v="15.8"/>
  </r>
  <r>
    <n v="518947"/>
    <n v="22627"/>
    <x v="689"/>
    <x v="2"/>
    <d v="2010-08-12T15:00:00"/>
    <x v="20"/>
    <n v="15365"/>
    <x v="1"/>
    <n v="17"/>
  </r>
  <r>
    <n v="533838"/>
    <n v="22847"/>
    <x v="376"/>
    <x v="1"/>
    <d v="2010-11-19T10:57:00"/>
    <x v="36"/>
    <n v="13662"/>
    <x v="1"/>
    <n v="16.95"/>
  </r>
  <r>
    <n v="507837"/>
    <n v="21259"/>
    <x v="665"/>
    <x v="2"/>
    <d v="2010-05-11T13:29:00"/>
    <x v="6"/>
    <n v="15358"/>
    <x v="1"/>
    <n v="11.9"/>
  </r>
  <r>
    <n v="496335"/>
    <n v="21832"/>
    <x v="690"/>
    <x v="3"/>
    <d v="2010-01-31T14:42:00"/>
    <x v="1"/>
    <n v="18212"/>
    <x v="1"/>
    <n v="19.799999999999997"/>
  </r>
  <r>
    <n v="529589"/>
    <n v="20724"/>
    <x v="588"/>
    <x v="11"/>
    <s v="10/28/2010 19:59"/>
    <x v="11"/>
    <n v="17323"/>
    <x v="1"/>
    <n v="8.5"/>
  </r>
  <r>
    <n v="489866"/>
    <n v="82578"/>
    <x v="458"/>
    <x v="2"/>
    <d v="2009-12-02T15:04:00"/>
    <x v="29"/>
    <n v="16200"/>
    <x v="1"/>
    <n v="1.1000000000000001"/>
  </r>
  <r>
    <n v="537153"/>
    <n v="21888"/>
    <x v="96"/>
    <x v="0"/>
    <d v="2010-12-05T13:03:00"/>
    <x v="16"/>
    <n v="16718"/>
    <x v="1"/>
    <n v="22.5"/>
  </r>
  <r>
    <n v="504854"/>
    <n v="21228"/>
    <x v="691"/>
    <x v="1"/>
    <d v="2010-04-18T10:40:00"/>
    <x v="3"/>
    <n v="16923"/>
    <x v="1"/>
    <n v="1.25"/>
  </r>
  <r>
    <n v="522627"/>
    <n v="22821"/>
    <x v="692"/>
    <x v="3"/>
    <d v="2010-09-15T16:28:00"/>
    <x v="18"/>
    <n v="15660"/>
    <x v="1"/>
    <n v="7.8000000000000007"/>
  </r>
  <r>
    <n v="502925"/>
    <n v="20729"/>
    <x v="693"/>
    <x v="1"/>
    <d v="2010-03-29T14:19:00"/>
    <x v="3"/>
    <n v="17841"/>
    <x v="1"/>
    <n v="1.25"/>
  </r>
  <r>
    <n v="504861"/>
    <n v="21927"/>
    <x v="694"/>
    <x v="7"/>
    <d v="2010-04-18T12:05:00"/>
    <x v="3"/>
    <n v="14702"/>
    <x v="1"/>
    <n v="5"/>
  </r>
  <r>
    <n v="526900"/>
    <n v="22389"/>
    <x v="695"/>
    <x v="6"/>
    <d v="2010-10-13T15:07:00"/>
    <x v="11"/>
    <n v="16120"/>
    <x v="1"/>
    <n v="30.599999999999998"/>
  </r>
  <r>
    <n v="496222"/>
    <n v="84946"/>
    <x v="10"/>
    <x v="3"/>
    <d v="2010-01-29T13:53:00"/>
    <x v="3"/>
    <n v="13583"/>
    <x v="1"/>
    <n v="15"/>
  </r>
  <r>
    <n v="499272"/>
    <n v="22329"/>
    <x v="457"/>
    <x v="2"/>
    <d v="2010-02-25T16:48:00"/>
    <x v="1"/>
    <n v="17032"/>
    <x v="1"/>
    <n v="3.3"/>
  </r>
  <r>
    <n v="536030"/>
    <n v="22173"/>
    <x v="224"/>
    <x v="8"/>
    <d v="2010-11-29T16:41:00"/>
    <x v="0"/>
    <n v="15828"/>
    <x v="1"/>
    <n v="23.6"/>
  </r>
  <r>
    <n v="510962"/>
    <n v="21474"/>
    <x v="696"/>
    <x v="2"/>
    <d v="2010-06-04T11:02:00"/>
    <x v="58"/>
    <n v="15547"/>
    <x v="1"/>
    <n v="39.9"/>
  </r>
  <r>
    <n v="521819"/>
    <n v="21115"/>
    <x v="582"/>
    <x v="2"/>
    <d v="2010-09-08T16:17:00"/>
    <x v="31"/>
    <n v="13717"/>
    <x v="1"/>
    <n v="13.5"/>
  </r>
  <r>
    <n v="530085"/>
    <n v="22842"/>
    <x v="697"/>
    <x v="1"/>
    <d v="2010-11-01T13:26:00"/>
    <x v="31"/>
    <n v="17315"/>
    <x v="1"/>
    <n v="6.75"/>
  </r>
  <r>
    <n v="496057"/>
    <n v="21181"/>
    <x v="310"/>
    <x v="0"/>
    <d v="2010-01-28T15:04:00"/>
    <x v="9"/>
    <n v="16137"/>
    <x v="1"/>
    <n v="12.600000000000001"/>
  </r>
  <r>
    <n v="496926"/>
    <n v="84992"/>
    <x v="698"/>
    <x v="7"/>
    <d v="2010-02-04T16:16:00"/>
    <x v="29"/>
    <n v="17965"/>
    <x v="1"/>
    <n v="2.2000000000000002"/>
  </r>
  <r>
    <n v="522110"/>
    <s v="85014B"/>
    <x v="8"/>
    <x v="5"/>
    <d v="2010-09-12T15:15:00"/>
    <x v="6"/>
    <n v="13455"/>
    <x v="1"/>
    <n v="17.850000000000001"/>
  </r>
  <r>
    <n v="527937"/>
    <n v="22748"/>
    <x v="699"/>
    <x v="0"/>
    <d v="2010-10-19T14:05:00"/>
    <x v="9"/>
    <n v="12594"/>
    <x v="6"/>
    <n v="12.600000000000001"/>
  </r>
  <r>
    <n v="525694"/>
    <n v="22711"/>
    <x v="419"/>
    <x v="10"/>
    <d v="2010-10-06T12:30:00"/>
    <x v="17"/>
    <n v="17429"/>
    <x v="1"/>
    <n v="10.5"/>
  </r>
  <r>
    <n v="502337"/>
    <n v="22447"/>
    <x v="700"/>
    <x v="1"/>
    <d v="2010-03-24T10:45:00"/>
    <x v="68"/>
    <n v="17377"/>
    <x v="1"/>
    <n v="3.35"/>
  </r>
  <r>
    <n v="492374"/>
    <n v="22297"/>
    <x v="430"/>
    <x v="23"/>
    <d v="2009-12-16T14:41:00"/>
    <x v="3"/>
    <n v="15984"/>
    <x v="1"/>
    <n v="60"/>
  </r>
  <r>
    <n v="517070"/>
    <n v="22087"/>
    <x v="701"/>
    <x v="3"/>
    <d v="2010-07-26T13:57:00"/>
    <x v="0"/>
    <n v="14257"/>
    <x v="1"/>
    <n v="35.400000000000006"/>
  </r>
  <r>
    <n v="534786"/>
    <n v="22111"/>
    <x v="121"/>
    <x v="5"/>
    <d v="2010-11-24T11:21:00"/>
    <x v="24"/>
    <n v="15854"/>
    <x v="1"/>
    <n v="14.850000000000001"/>
  </r>
  <r>
    <n v="506433"/>
    <s v="84997D"/>
    <x v="550"/>
    <x v="0"/>
    <s v="2010-04-29 15:32"/>
    <x v="16"/>
    <n v="18141"/>
    <x v="1"/>
    <n v="22.5"/>
  </r>
  <r>
    <n v="535366"/>
    <n v="21191"/>
    <x v="702"/>
    <x v="0"/>
    <d v="2010-11-25T17:42:00"/>
    <x v="9"/>
    <n v="14264"/>
    <x v="1"/>
    <n v="12.600000000000001"/>
  </r>
  <r>
    <n v="516744"/>
    <n v="22128"/>
    <x v="703"/>
    <x v="4"/>
    <d v="2010-07-22T14:27:00"/>
    <x v="3"/>
    <n v="14236"/>
    <x v="1"/>
    <n v="30"/>
  </r>
  <r>
    <n v="490466"/>
    <n v="72122"/>
    <x v="704"/>
    <x v="7"/>
    <d v="2009-12-06T12:16:00"/>
    <x v="54"/>
    <n v="17085"/>
    <x v="1"/>
    <n v="3.8"/>
  </r>
  <r>
    <n v="527935"/>
    <n v="22625"/>
    <x v="705"/>
    <x v="1"/>
    <d v="2010-10-19T13:38:00"/>
    <x v="20"/>
    <n v="16719"/>
    <x v="1"/>
    <n v="8.5"/>
  </r>
  <r>
    <n v="504904"/>
    <n v="21926"/>
    <x v="706"/>
    <x v="2"/>
    <d v="2010-04-18T15:53:00"/>
    <x v="3"/>
    <n v="18069"/>
    <x v="1"/>
    <n v="2.5"/>
  </r>
  <r>
    <n v="511853"/>
    <n v="22073"/>
    <x v="707"/>
    <x v="8"/>
    <d v="2010-06-11T08:08:00"/>
    <x v="35"/>
    <n v="14298"/>
    <x v="1"/>
    <n v="27.12"/>
  </r>
  <r>
    <n v="522644"/>
    <n v="22583"/>
    <x v="217"/>
    <x v="1"/>
    <d v="2010-09-16T10:43:00"/>
    <x v="4"/>
    <n v="15723"/>
    <x v="1"/>
    <n v="2.5499999999999998"/>
  </r>
  <r>
    <n v="514661"/>
    <n v="21741"/>
    <x v="214"/>
    <x v="7"/>
    <d v="2010-07-05T12:50:00"/>
    <x v="0"/>
    <n v="14701"/>
    <x v="1"/>
    <n v="11.8"/>
  </r>
  <r>
    <n v="507419"/>
    <n v="21204"/>
    <x v="708"/>
    <x v="3"/>
    <s v="05/09/2010 14:54"/>
    <x v="1"/>
    <n v="14129"/>
    <x v="1"/>
    <n v="19.799999999999997"/>
  </r>
  <r>
    <n v="525714"/>
    <n v="21929"/>
    <x v="333"/>
    <x v="39"/>
    <d v="2010-10-06T14:24:00"/>
    <x v="1"/>
    <n v="13629"/>
    <x v="1"/>
    <n v="165"/>
  </r>
  <r>
    <n v="496551"/>
    <n v="21437"/>
    <x v="709"/>
    <x v="1"/>
    <d v="2010-02-02T13:13:00"/>
    <x v="16"/>
    <n v="13975"/>
    <x v="1"/>
    <n v="3.75"/>
  </r>
  <r>
    <n v="514823"/>
    <n v="21906"/>
    <x v="710"/>
    <x v="2"/>
    <d v="2010-07-06T12:19:00"/>
    <x v="31"/>
    <n v="12730"/>
    <x v="2"/>
    <n v="13.5"/>
  </r>
  <r>
    <n v="489814"/>
    <n v="84270"/>
    <x v="711"/>
    <x v="53"/>
    <d v="2009-12-02T13:06:00"/>
    <x v="48"/>
    <n v="14669"/>
    <x v="1"/>
    <n v="6.3"/>
  </r>
  <r>
    <n v="522739"/>
    <n v="22210"/>
    <x v="712"/>
    <x v="1"/>
    <d v="2010-09-16T13:06:00"/>
    <x v="1"/>
    <n v="14963"/>
    <x v="1"/>
    <n v="1.65"/>
  </r>
  <r>
    <s v="C517227"/>
    <n v="20893"/>
    <x v="713"/>
    <x v="58"/>
    <d v="2010-07-27T13:16:00"/>
    <x v="9"/>
    <n v="17408"/>
    <x v="1"/>
    <n v="-151.20000000000002"/>
  </r>
  <r>
    <n v="512608"/>
    <s v="84971S"/>
    <x v="714"/>
    <x v="4"/>
    <d v="2010-06-17T09:56:00"/>
    <x v="11"/>
    <n v="13488"/>
    <x v="1"/>
    <n v="20.399999999999999"/>
  </r>
  <r>
    <n v="494915"/>
    <n v="21122"/>
    <x v="715"/>
    <x v="5"/>
    <d v="2010-01-19T17:12:00"/>
    <x v="3"/>
    <n v="13564"/>
    <x v="1"/>
    <n v="3.75"/>
  </r>
  <r>
    <n v="513952"/>
    <s v="85226C"/>
    <x v="716"/>
    <x v="0"/>
    <d v="2010-06-29T14:11:00"/>
    <x v="29"/>
    <n v="14049"/>
    <x v="1"/>
    <n v="3.3000000000000003"/>
  </r>
  <r>
    <n v="503834"/>
    <n v="22530"/>
    <x v="717"/>
    <x v="59"/>
    <d v="2010-04-07T16:13:00"/>
    <x v="61"/>
    <n v="12482"/>
    <x v="19"/>
    <n v="138.24"/>
  </r>
  <r>
    <n v="533469"/>
    <n v="22457"/>
    <x v="281"/>
    <x v="7"/>
    <s v="2010-11-17 12:36"/>
    <x v="0"/>
    <n v="16016"/>
    <x v="1"/>
    <n v="11.8"/>
  </r>
  <r>
    <n v="525317"/>
    <s v="84997A"/>
    <x v="718"/>
    <x v="5"/>
    <d v="2010-10-05T11:17:00"/>
    <x v="16"/>
    <n v="15311"/>
    <x v="1"/>
    <n v="11.25"/>
  </r>
  <r>
    <n v="509031"/>
    <n v="21563"/>
    <x v="39"/>
    <x v="2"/>
    <d v="2010-05-19T16:30:00"/>
    <x v="0"/>
    <n v="17950"/>
    <x v="1"/>
    <n v="5.9"/>
  </r>
  <r>
    <n v="503824"/>
    <n v="22177"/>
    <x v="719"/>
    <x v="1"/>
    <d v="2010-04-07T15:02:00"/>
    <x v="45"/>
    <n v="13593"/>
    <x v="1"/>
    <n v="9.9499999999999993"/>
  </r>
  <r>
    <n v="489998"/>
    <n v="21693"/>
    <x v="720"/>
    <x v="0"/>
    <d v="2009-12-03T11:19:00"/>
    <x v="0"/>
    <n v="15658"/>
    <x v="1"/>
    <n v="17.700000000000003"/>
  </r>
  <r>
    <n v="524305"/>
    <n v="11001"/>
    <x v="721"/>
    <x v="27"/>
    <d v="2010-09-28T13:40:00"/>
    <x v="33"/>
    <n v="14988"/>
    <x v="1"/>
    <n v="27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outline="1" outlineData="1" multipleFieldFilters="0">
  <location ref="A3:B27" firstHeaderRow="1" firstDataRow="1" firstDataCol="1"/>
  <pivotFields count="9">
    <pivotField showAll="0"/>
    <pivotField showAll="0"/>
    <pivotField showAll="0">
      <items count="723">
        <item x="519"/>
        <item x="698"/>
        <item x="443"/>
        <item x="221"/>
        <item x="255"/>
        <item x="5"/>
        <item x="484"/>
        <item x="585"/>
        <item x="600"/>
        <item x="44"/>
        <item x="672"/>
        <item x="265"/>
        <item x="332"/>
        <item x="513"/>
        <item x="310"/>
        <item x="705"/>
        <item x="369"/>
        <item x="282"/>
        <item x="328"/>
        <item x="584"/>
        <item x="715"/>
        <item x="654"/>
        <item x="435"/>
        <item x="21"/>
        <item x="245"/>
        <item x="592"/>
        <item x="361"/>
        <item x="601"/>
        <item x="709"/>
        <item x="560"/>
        <item x="558"/>
        <item x="548"/>
        <item x="283"/>
        <item x="174"/>
        <item x="20"/>
        <item x="673"/>
        <item x="97"/>
        <item x="411"/>
        <item x="719"/>
        <item x="586"/>
        <item x="158"/>
        <item x="69"/>
        <item x="137"/>
        <item x="687"/>
        <item x="489"/>
        <item x="288"/>
        <item x="674"/>
        <item x="509"/>
        <item x="219"/>
        <item x="340"/>
        <item x="570"/>
        <item x="473"/>
        <item x="449"/>
        <item x="275"/>
        <item x="320"/>
        <item x="405"/>
        <item x="485"/>
        <item x="10"/>
        <item x="93"/>
        <item x="152"/>
        <item x="515"/>
        <item x="169"/>
        <item x="155"/>
        <item x="92"/>
        <item x="85"/>
        <item x="297"/>
        <item x="428"/>
        <item x="70"/>
        <item x="345"/>
        <item x="396"/>
        <item x="711"/>
        <item x="721"/>
        <item x="437"/>
        <item x="118"/>
        <item x="107"/>
        <item x="412"/>
        <item x="232"/>
        <item x="413"/>
        <item x="478"/>
        <item x="528"/>
        <item x="96"/>
        <item x="68"/>
        <item x="697"/>
        <item x="432"/>
        <item x="143"/>
        <item x="374"/>
        <item x="611"/>
        <item x="303"/>
        <item x="209"/>
        <item x="535"/>
        <item x="289"/>
        <item x="285"/>
        <item x="196"/>
        <item x="89"/>
        <item x="322"/>
        <item x="408"/>
        <item x="479"/>
        <item x="579"/>
        <item x="581"/>
        <item x="495"/>
        <item x="33"/>
        <item x="716"/>
        <item x="191"/>
        <item x="465"/>
        <item x="357"/>
        <item x="230"/>
        <item x="538"/>
        <item x="223"/>
        <item x="694"/>
        <item x="557"/>
        <item x="526"/>
        <item x="663"/>
        <item x="376"/>
        <item x="213"/>
        <item x="183"/>
        <item x="668"/>
        <item x="517"/>
        <item x="48"/>
        <item x="434"/>
        <item x="208"/>
        <item x="153"/>
        <item x="179"/>
        <item x="195"/>
        <item x="653"/>
        <item x="618"/>
        <item x="359"/>
        <item x="648"/>
        <item x="269"/>
        <item x="358"/>
        <item x="157"/>
        <item x="154"/>
        <item x="335"/>
        <item x="159"/>
        <item x="477"/>
        <item x="572"/>
        <item x="392"/>
        <item x="552"/>
        <item x="60"/>
        <item x="562"/>
        <item x="650"/>
        <item x="304"/>
        <item x="212"/>
        <item x="545"/>
        <item x="12"/>
        <item x="296"/>
        <item x="608"/>
        <item x="294"/>
        <item x="409"/>
        <item x="518"/>
        <item x="690"/>
        <item x="139"/>
        <item x="197"/>
        <item x="201"/>
        <item x="270"/>
        <item x="264"/>
        <item x="99"/>
        <item x="127"/>
        <item x="622"/>
        <item x="626"/>
        <item x="311"/>
        <item x="280"/>
        <item x="261"/>
        <item x="370"/>
        <item x="352"/>
        <item x="307"/>
        <item x="612"/>
        <item x="14"/>
        <item x="660"/>
        <item x="117"/>
        <item x="259"/>
        <item x="704"/>
        <item x="678"/>
        <item x="51"/>
        <item x="502"/>
        <item x="685"/>
        <item x="339"/>
        <item x="658"/>
        <item x="214"/>
        <item x="532"/>
        <item x="641"/>
        <item x="190"/>
        <item x="76"/>
        <item x="436"/>
        <item x="494"/>
        <item x="505"/>
        <item x="418"/>
        <item x="476"/>
        <item x="708"/>
        <item x="512"/>
        <item x="442"/>
        <item x="463"/>
        <item x="382"/>
        <item x="236"/>
        <item x="302"/>
        <item x="480"/>
        <item x="317"/>
        <item x="75"/>
        <item x="644"/>
        <item x="686"/>
        <item x="200"/>
        <item x="464"/>
        <item x="126"/>
        <item x="15"/>
        <item x="140"/>
        <item x="136"/>
        <item x="243"/>
        <item x="625"/>
        <item x="652"/>
        <item x="481"/>
        <item x="62"/>
        <item x="472"/>
        <item x="45"/>
        <item x="425"/>
        <item x="284"/>
        <item x="646"/>
        <item x="122"/>
        <item x="28"/>
        <item x="514"/>
        <item x="610"/>
        <item x="50"/>
        <item x="380"/>
        <item x="454"/>
        <item x="500"/>
        <item x="406"/>
        <item x="146"/>
        <item x="564"/>
        <item x="162"/>
        <item x="105"/>
        <item x="27"/>
        <item x="543"/>
        <item x="527"/>
        <item x="566"/>
        <item x="272"/>
        <item x="621"/>
        <item x="448"/>
        <item x="683"/>
        <item x="74"/>
        <item x="645"/>
        <item x="144"/>
        <item x="326"/>
        <item x="279"/>
        <item x="167"/>
        <item x="30"/>
        <item x="655"/>
        <item x="420"/>
        <item x="682"/>
        <item x="403"/>
        <item x="639"/>
        <item x="142"/>
        <item x="0"/>
        <item x="482"/>
        <item x="556"/>
        <item x="421"/>
        <item x="529"/>
        <item x="138"/>
        <item x="354"/>
        <item x="629"/>
        <item x="571"/>
        <item x="257"/>
        <item x="604"/>
        <item x="491"/>
        <item x="141"/>
        <item x="542"/>
        <item x="692"/>
        <item x="315"/>
        <item x="73"/>
        <item x="492"/>
        <item x="474"/>
        <item x="235"/>
        <item x="123"/>
        <item x="148"/>
        <item x="150"/>
        <item x="293"/>
        <item x="670"/>
        <item x="94"/>
        <item x="202"/>
        <item x="171"/>
        <item x="108"/>
        <item x="286"/>
        <item x="41"/>
        <item x="718"/>
        <item x="313"/>
        <item x="61"/>
        <item x="371"/>
        <item x="516"/>
        <item x="95"/>
        <item x="182"/>
        <item x="295"/>
        <item x="559"/>
        <item x="414"/>
        <item x="166"/>
        <item x="677"/>
        <item x="467"/>
        <item x="308"/>
        <item x="309"/>
        <item x="349"/>
        <item x="343"/>
        <item x="175"/>
        <item x="713"/>
        <item x="104"/>
        <item x="42"/>
        <item x="429"/>
        <item x="350"/>
        <item x="422"/>
        <item x="211"/>
        <item x="77"/>
        <item x="252"/>
        <item x="430"/>
        <item x="109"/>
        <item x="487"/>
        <item x="300"/>
        <item x="415"/>
        <item x="246"/>
        <item x="676"/>
        <item x="547"/>
        <item x="496"/>
        <item x="147"/>
        <item x="688"/>
        <item x="470"/>
        <item x="133"/>
        <item x="362"/>
        <item x="18"/>
        <item x="471"/>
        <item x="563"/>
        <item x="177"/>
        <item x="63"/>
        <item x="233"/>
        <item x="433"/>
        <item x="333"/>
        <item x="595"/>
        <item x="198"/>
        <item x="657"/>
        <item x="319"/>
        <item x="439"/>
        <item x="38"/>
        <item x="145"/>
        <item x="31"/>
        <item x="314"/>
        <item x="216"/>
        <item x="499"/>
        <item x="251"/>
        <item x="37"/>
        <item x="632"/>
        <item x="247"/>
        <item x="170"/>
        <item x="456"/>
        <item x="278"/>
        <item x="458"/>
        <item x="377"/>
        <item x="318"/>
        <item x="132"/>
        <item x="110"/>
        <item x="347"/>
        <item x="210"/>
        <item x="631"/>
        <item x="669"/>
        <item x="640"/>
        <item x="287"/>
        <item x="267"/>
        <item x="702"/>
        <item x="486"/>
        <item x="124"/>
        <item x="1"/>
        <item x="258"/>
        <item x="483"/>
        <item x="218"/>
        <item x="507"/>
        <item x="666"/>
        <item x="497"/>
        <item x="163"/>
        <item x="407"/>
        <item x="290"/>
        <item x="717"/>
        <item x="573"/>
        <item x="187"/>
        <item x="404"/>
        <item x="537"/>
        <item x="613"/>
        <item x="224"/>
        <item x="101"/>
        <item x="6"/>
        <item x="19"/>
        <item x="256"/>
        <item x="575"/>
        <item x="637"/>
        <item x="617"/>
        <item x="16"/>
        <item x="568"/>
        <item x="461"/>
        <item x="238"/>
        <item x="276"/>
        <item x="336"/>
        <item x="689"/>
        <item x="444"/>
        <item x="596"/>
        <item x="346"/>
        <item x="80"/>
        <item x="323"/>
        <item x="553"/>
        <item x="281"/>
        <item x="344"/>
        <item x="301"/>
        <item x="455"/>
        <item x="135"/>
        <item x="192"/>
        <item x="619"/>
        <item x="379"/>
        <item x="402"/>
        <item x="643"/>
        <item x="393"/>
        <item x="229"/>
        <item x="549"/>
        <item x="128"/>
        <item x="546"/>
        <item x="504"/>
        <item x="642"/>
        <item x="83"/>
        <item x="540"/>
        <item x="536"/>
        <item x="125"/>
        <item x="217"/>
        <item x="129"/>
        <item x="325"/>
        <item x="274"/>
        <item x="199"/>
        <item x="451"/>
        <item x="327"/>
        <item x="78"/>
        <item x="367"/>
        <item x="173"/>
        <item x="633"/>
        <item x="366"/>
        <item x="594"/>
        <item x="400"/>
        <item x="680"/>
        <item x="701"/>
        <item x="551"/>
        <item x="7"/>
        <item x="397"/>
        <item x="695"/>
        <item x="29"/>
        <item x="703"/>
        <item x="353"/>
        <item x="605"/>
        <item x="710"/>
        <item x="178"/>
        <item x="700"/>
        <item x="176"/>
        <item x="590"/>
        <item x="401"/>
        <item x="550"/>
        <item x="511"/>
        <item x="168"/>
        <item x="381"/>
        <item x="603"/>
        <item x="534"/>
        <item x="386"/>
        <item x="475"/>
        <item x="490"/>
        <item x="390"/>
        <item x="589"/>
        <item x="530"/>
        <item x="56"/>
        <item x="656"/>
        <item x="398"/>
        <item x="161"/>
        <item x="32"/>
        <item x="186"/>
        <item x="634"/>
        <item x="627"/>
        <item x="597"/>
        <item x="368"/>
        <item x="691"/>
        <item x="460"/>
        <item x="334"/>
        <item x="58"/>
        <item x="699"/>
        <item x="578"/>
        <item x="387"/>
        <item x="231"/>
        <item x="416"/>
        <item x="567"/>
        <item x="569"/>
        <item x="417"/>
        <item x="576"/>
        <item x="452"/>
        <item x="623"/>
        <item x="22"/>
        <item x="533"/>
        <item x="57"/>
        <item x="64"/>
        <item x="554"/>
        <item x="240"/>
        <item x="616"/>
        <item x="2"/>
        <item x="628"/>
        <item x="113"/>
        <item x="249"/>
        <item x="91"/>
        <item x="106"/>
        <item x="220"/>
        <item x="446"/>
        <item x="630"/>
        <item x="651"/>
        <item x="39"/>
        <item x="306"/>
        <item x="164"/>
        <item x="574"/>
        <item x="615"/>
        <item x="539"/>
        <item x="588"/>
        <item x="503"/>
        <item x="620"/>
        <item x="555"/>
        <item x="84"/>
        <item x="707"/>
        <item x="330"/>
        <item x="638"/>
        <item x="606"/>
        <item x="693"/>
        <item x="53"/>
        <item x="510"/>
        <item x="372"/>
        <item x="466"/>
        <item x="331"/>
        <item x="426"/>
        <item x="438"/>
        <item x="59"/>
        <item x="375"/>
        <item x="355"/>
        <item x="706"/>
        <item x="8"/>
        <item x="228"/>
        <item x="520"/>
        <item x="373"/>
        <item x="131"/>
        <item x="180"/>
        <item x="635"/>
        <item x="493"/>
        <item x="262"/>
        <item x="86"/>
        <item x="587"/>
        <item x="9"/>
        <item x="667"/>
        <item x="488"/>
        <item x="298"/>
        <item x="321"/>
        <item x="501"/>
        <item x="675"/>
        <item x="440"/>
        <item x="115"/>
        <item x="431"/>
        <item x="242"/>
        <item x="582"/>
        <item x="450"/>
        <item x="457"/>
        <item x="55"/>
        <item x="469"/>
        <item x="636"/>
        <item x="114"/>
        <item x="521"/>
        <item x="312"/>
        <item x="120"/>
        <item x="36"/>
        <item x="468"/>
        <item x="237"/>
        <item x="399"/>
        <item x="647"/>
        <item x="121"/>
        <item x="116"/>
        <item x="462"/>
        <item x="87"/>
        <item x="329"/>
        <item x="342"/>
        <item x="47"/>
        <item x="661"/>
        <item x="103"/>
        <item x="79"/>
        <item x="149"/>
        <item x="292"/>
        <item x="241"/>
        <item x="447"/>
        <item x="35"/>
        <item x="227"/>
        <item x="524"/>
        <item x="565"/>
        <item x="189"/>
        <item x="453"/>
        <item x="385"/>
        <item x="67"/>
        <item x="671"/>
        <item x="26"/>
        <item x="71"/>
        <item x="273"/>
        <item x="316"/>
        <item x="523"/>
        <item x="544"/>
        <item x="66"/>
        <item x="427"/>
        <item x="383"/>
        <item x="46"/>
        <item x="561"/>
        <item x="363"/>
        <item x="81"/>
        <item x="459"/>
        <item x="90"/>
        <item x="188"/>
        <item x="522"/>
        <item x="250"/>
        <item x="348"/>
        <item x="659"/>
        <item x="599"/>
        <item x="395"/>
        <item x="111"/>
        <item x="244"/>
        <item x="720"/>
        <item x="714"/>
        <item x="34"/>
        <item x="591"/>
        <item x="679"/>
        <item x="614"/>
        <item x="664"/>
        <item x="17"/>
        <item x="156"/>
        <item x="598"/>
        <item x="263"/>
        <item x="525"/>
        <item x="119"/>
        <item x="225"/>
        <item x="649"/>
        <item x="160"/>
        <item x="226"/>
        <item x="102"/>
        <item x="337"/>
        <item x="378"/>
        <item x="577"/>
        <item x="299"/>
        <item x="4"/>
        <item x="185"/>
        <item x="324"/>
        <item x="291"/>
        <item x="593"/>
        <item x="364"/>
        <item x="696"/>
        <item x="82"/>
        <item x="423"/>
        <item x="384"/>
        <item x="391"/>
        <item x="206"/>
        <item x="681"/>
        <item x="266"/>
        <item x="172"/>
        <item x="277"/>
        <item x="531"/>
        <item x="49"/>
        <item x="52"/>
        <item x="234"/>
        <item x="580"/>
        <item x="388"/>
        <item x="662"/>
        <item x="130"/>
        <item x="360"/>
        <item x="356"/>
        <item x="151"/>
        <item x="134"/>
        <item x="684"/>
        <item x="25"/>
        <item x="665"/>
        <item x="441"/>
        <item x="498"/>
        <item x="341"/>
        <item x="43"/>
        <item x="260"/>
        <item x="508"/>
        <item x="410"/>
        <item x="184"/>
        <item x="389"/>
        <item x="54"/>
        <item x="215"/>
        <item x="365"/>
        <item x="72"/>
        <item x="351"/>
        <item x="194"/>
        <item x="609"/>
        <item x="23"/>
        <item x="268"/>
        <item x="506"/>
        <item x="100"/>
        <item x="254"/>
        <item x="338"/>
        <item x="305"/>
        <item x="24"/>
        <item x="607"/>
        <item x="253"/>
        <item x="271"/>
        <item x="11"/>
        <item x="541"/>
        <item x="583"/>
        <item x="712"/>
        <item x="98"/>
        <item x="112"/>
        <item x="239"/>
        <item x="248"/>
        <item x="65"/>
        <item x="165"/>
        <item x="445"/>
        <item x="602"/>
        <item x="181"/>
        <item x="13"/>
        <item x="624"/>
        <item x="207"/>
        <item x="394"/>
        <item x="222"/>
        <item x="88"/>
        <item x="203"/>
        <item x="419"/>
        <item x="424"/>
        <item x="193"/>
        <item x="205"/>
        <item x="204"/>
        <item x="3"/>
        <item x="40"/>
        <item t="default"/>
      </items>
    </pivotField>
    <pivotField showAll="0">
      <items count="61">
        <item x="58"/>
        <item x="47"/>
        <item x="54"/>
        <item x="41"/>
        <item x="26"/>
        <item x="30"/>
        <item x="35"/>
        <item x="56"/>
        <item x="13"/>
        <item x="1"/>
        <item x="2"/>
        <item x="5"/>
        <item x="7"/>
        <item x="15"/>
        <item x="0"/>
        <item x="22"/>
        <item x="8"/>
        <item x="40"/>
        <item x="11"/>
        <item x="50"/>
        <item x="3"/>
        <item x="57"/>
        <item x="12"/>
        <item x="32"/>
        <item x="27"/>
        <item x="20"/>
        <item x="14"/>
        <item x="4"/>
        <item x="10"/>
        <item x="55"/>
        <item x="53"/>
        <item x="42"/>
        <item x="21"/>
        <item x="6"/>
        <item x="52"/>
        <item x="23"/>
        <item x="34"/>
        <item x="51"/>
        <item x="43"/>
        <item x="45"/>
        <item x="24"/>
        <item x="19"/>
        <item x="39"/>
        <item x="44"/>
        <item x="28"/>
        <item x="25"/>
        <item x="29"/>
        <item x="17"/>
        <item x="59"/>
        <item x="48"/>
        <item x="16"/>
        <item x="36"/>
        <item x="9"/>
        <item x="18"/>
        <item x="31"/>
        <item x="49"/>
        <item x="37"/>
        <item x="46"/>
        <item x="38"/>
        <item x="33"/>
        <item t="default"/>
      </items>
    </pivotField>
    <pivotField showAll="0"/>
    <pivotField showAll="0">
      <items count="78">
        <item x="51"/>
        <item x="69"/>
        <item x="50"/>
        <item x="48"/>
        <item x="32"/>
        <item x="27"/>
        <item x="61"/>
        <item x="44"/>
        <item x="17"/>
        <item x="29"/>
        <item x="18"/>
        <item x="66"/>
        <item x="11"/>
        <item x="54"/>
        <item x="28"/>
        <item x="3"/>
        <item x="42"/>
        <item x="41"/>
        <item x="59"/>
        <item x="1"/>
        <item x="33"/>
        <item x="8"/>
        <item x="5"/>
        <item x="9"/>
        <item x="13"/>
        <item x="63"/>
        <item x="4"/>
        <item x="75"/>
        <item x="0"/>
        <item x="21"/>
        <item x="68"/>
        <item x="35"/>
        <item x="57"/>
        <item x="16"/>
        <item x="39"/>
        <item x="25"/>
        <item x="15"/>
        <item x="24"/>
        <item x="12"/>
        <item x="55"/>
        <item x="6"/>
        <item x="53"/>
        <item x="7"/>
        <item x="31"/>
        <item x="64"/>
        <item x="10"/>
        <item x="71"/>
        <item x="2"/>
        <item x="20"/>
        <item x="52"/>
        <item x="45"/>
        <item x="56"/>
        <item x="49"/>
        <item x="46"/>
        <item x="14"/>
        <item x="65"/>
        <item x="37"/>
        <item x="36"/>
        <item x="73"/>
        <item x="72"/>
        <item x="58"/>
        <item x="43"/>
        <item x="76"/>
        <item x="23"/>
        <item x="70"/>
        <item x="26"/>
        <item x="60"/>
        <item x="40"/>
        <item x="19"/>
        <item x="38"/>
        <item x="47"/>
        <item x="34"/>
        <item x="67"/>
        <item x="62"/>
        <item x="30"/>
        <item x="22"/>
        <item x="74"/>
        <item t="default"/>
      </items>
    </pivotField>
    <pivotField showAll="0"/>
    <pivotField axis="axisRow" showAll="0" sortType="descending">
      <items count="24">
        <item x="15"/>
        <item x="5"/>
        <item x="12"/>
        <item x="10"/>
        <item x="8"/>
        <item x="0"/>
        <item x="22"/>
        <item x="3"/>
        <item x="2"/>
        <item x="16"/>
        <item x="6"/>
        <item x="14"/>
        <item x="9"/>
        <item x="13"/>
        <item x="7"/>
        <item x="20"/>
        <item x="19"/>
        <item x="17"/>
        <item x="4"/>
        <item x="18"/>
        <item x="21"/>
        <item x="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7"/>
  </rowFields>
  <rowItems count="24">
    <i>
      <x v="21"/>
    </i>
    <i>
      <x v="4"/>
    </i>
    <i>
      <x v="12"/>
    </i>
    <i>
      <x v="5"/>
    </i>
    <i>
      <x v="7"/>
    </i>
    <i>
      <x v="8"/>
    </i>
    <i>
      <x v="16"/>
    </i>
    <i>
      <x v="13"/>
    </i>
    <i>
      <x v="11"/>
    </i>
    <i>
      <x v="20"/>
    </i>
    <i>
      <x v="2"/>
    </i>
    <i>
      <x v="1"/>
    </i>
    <i>
      <x v="9"/>
    </i>
    <i>
      <x v="17"/>
    </i>
    <i>
      <x v="15"/>
    </i>
    <i>
      <x v="10"/>
    </i>
    <i>
      <x v="3"/>
    </i>
    <i>
      <x v="14"/>
    </i>
    <i>
      <x v="19"/>
    </i>
    <i>
      <x v="6"/>
    </i>
    <i>
      <x/>
    </i>
    <i>
      <x v="22"/>
    </i>
    <i>
      <x v="18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outline="1" outlineData="1" multipleFieldFilters="0">
  <location ref="A3:B726" firstHeaderRow="1" firstDataRow="1" firstDataCol="1"/>
  <pivotFields count="9">
    <pivotField showAll="0"/>
    <pivotField showAll="0"/>
    <pivotField axis="axisRow" showAll="0" sortType="descending">
      <items count="723">
        <item x="519"/>
        <item x="698"/>
        <item x="443"/>
        <item x="221"/>
        <item x="255"/>
        <item x="5"/>
        <item x="484"/>
        <item x="585"/>
        <item x="600"/>
        <item x="44"/>
        <item x="672"/>
        <item x="265"/>
        <item x="332"/>
        <item x="513"/>
        <item x="310"/>
        <item x="705"/>
        <item x="369"/>
        <item x="282"/>
        <item x="328"/>
        <item x="584"/>
        <item x="715"/>
        <item x="654"/>
        <item x="435"/>
        <item x="21"/>
        <item x="245"/>
        <item x="592"/>
        <item x="361"/>
        <item x="601"/>
        <item x="709"/>
        <item x="560"/>
        <item x="558"/>
        <item x="548"/>
        <item x="283"/>
        <item x="174"/>
        <item x="20"/>
        <item x="673"/>
        <item x="97"/>
        <item x="411"/>
        <item x="719"/>
        <item x="586"/>
        <item x="158"/>
        <item x="69"/>
        <item x="137"/>
        <item x="687"/>
        <item x="489"/>
        <item x="288"/>
        <item x="674"/>
        <item x="509"/>
        <item x="219"/>
        <item x="340"/>
        <item x="570"/>
        <item x="473"/>
        <item x="449"/>
        <item x="275"/>
        <item x="320"/>
        <item x="405"/>
        <item x="485"/>
        <item x="10"/>
        <item x="93"/>
        <item x="152"/>
        <item x="515"/>
        <item x="169"/>
        <item x="155"/>
        <item x="92"/>
        <item x="85"/>
        <item x="297"/>
        <item x="428"/>
        <item x="70"/>
        <item x="345"/>
        <item x="396"/>
        <item x="711"/>
        <item x="721"/>
        <item x="437"/>
        <item x="118"/>
        <item x="107"/>
        <item x="412"/>
        <item x="232"/>
        <item x="413"/>
        <item x="478"/>
        <item x="528"/>
        <item x="96"/>
        <item x="68"/>
        <item x="697"/>
        <item x="432"/>
        <item x="143"/>
        <item x="374"/>
        <item x="611"/>
        <item x="303"/>
        <item x="209"/>
        <item x="535"/>
        <item x="289"/>
        <item x="285"/>
        <item x="196"/>
        <item x="89"/>
        <item x="322"/>
        <item x="408"/>
        <item x="479"/>
        <item x="579"/>
        <item x="581"/>
        <item x="495"/>
        <item x="33"/>
        <item x="716"/>
        <item x="191"/>
        <item x="465"/>
        <item x="357"/>
        <item x="230"/>
        <item x="538"/>
        <item x="223"/>
        <item x="694"/>
        <item x="557"/>
        <item x="526"/>
        <item x="663"/>
        <item x="376"/>
        <item x="213"/>
        <item x="183"/>
        <item x="668"/>
        <item x="517"/>
        <item x="48"/>
        <item x="434"/>
        <item x="208"/>
        <item x="153"/>
        <item x="179"/>
        <item x="195"/>
        <item x="653"/>
        <item x="618"/>
        <item x="359"/>
        <item x="648"/>
        <item x="269"/>
        <item x="358"/>
        <item x="157"/>
        <item x="154"/>
        <item x="335"/>
        <item x="159"/>
        <item x="477"/>
        <item x="572"/>
        <item x="392"/>
        <item x="552"/>
        <item x="60"/>
        <item x="562"/>
        <item x="650"/>
        <item x="304"/>
        <item x="212"/>
        <item x="545"/>
        <item x="12"/>
        <item x="296"/>
        <item x="608"/>
        <item x="294"/>
        <item x="409"/>
        <item x="518"/>
        <item x="690"/>
        <item x="139"/>
        <item x="197"/>
        <item x="201"/>
        <item x="270"/>
        <item x="264"/>
        <item x="99"/>
        <item x="127"/>
        <item x="622"/>
        <item x="626"/>
        <item x="311"/>
        <item x="280"/>
        <item x="261"/>
        <item x="370"/>
        <item x="352"/>
        <item x="307"/>
        <item x="612"/>
        <item x="14"/>
        <item x="660"/>
        <item x="117"/>
        <item x="259"/>
        <item x="704"/>
        <item x="678"/>
        <item x="51"/>
        <item x="502"/>
        <item x="685"/>
        <item x="339"/>
        <item x="658"/>
        <item x="214"/>
        <item x="532"/>
        <item x="641"/>
        <item x="190"/>
        <item x="76"/>
        <item x="436"/>
        <item x="494"/>
        <item x="505"/>
        <item x="418"/>
        <item x="476"/>
        <item x="708"/>
        <item x="512"/>
        <item x="442"/>
        <item x="463"/>
        <item x="382"/>
        <item x="236"/>
        <item x="302"/>
        <item x="480"/>
        <item x="317"/>
        <item x="75"/>
        <item x="644"/>
        <item x="686"/>
        <item x="200"/>
        <item x="464"/>
        <item x="126"/>
        <item x="15"/>
        <item x="140"/>
        <item x="136"/>
        <item x="243"/>
        <item x="625"/>
        <item x="652"/>
        <item x="481"/>
        <item x="62"/>
        <item x="472"/>
        <item x="45"/>
        <item x="425"/>
        <item x="284"/>
        <item x="646"/>
        <item x="122"/>
        <item x="28"/>
        <item x="514"/>
        <item x="610"/>
        <item x="50"/>
        <item x="380"/>
        <item x="454"/>
        <item x="500"/>
        <item x="406"/>
        <item x="146"/>
        <item x="564"/>
        <item x="162"/>
        <item x="105"/>
        <item x="27"/>
        <item x="543"/>
        <item x="527"/>
        <item x="566"/>
        <item x="272"/>
        <item x="621"/>
        <item x="448"/>
        <item x="683"/>
        <item x="74"/>
        <item x="645"/>
        <item x="144"/>
        <item x="326"/>
        <item x="279"/>
        <item x="167"/>
        <item x="30"/>
        <item x="655"/>
        <item x="420"/>
        <item x="682"/>
        <item x="403"/>
        <item x="639"/>
        <item x="142"/>
        <item x="0"/>
        <item x="482"/>
        <item x="556"/>
        <item x="421"/>
        <item x="529"/>
        <item x="138"/>
        <item x="354"/>
        <item x="629"/>
        <item x="571"/>
        <item x="257"/>
        <item x="604"/>
        <item x="491"/>
        <item x="141"/>
        <item x="542"/>
        <item x="692"/>
        <item x="315"/>
        <item x="73"/>
        <item x="492"/>
        <item x="474"/>
        <item x="235"/>
        <item x="123"/>
        <item x="148"/>
        <item x="150"/>
        <item x="293"/>
        <item x="670"/>
        <item x="94"/>
        <item x="202"/>
        <item x="171"/>
        <item x="108"/>
        <item x="286"/>
        <item x="41"/>
        <item x="718"/>
        <item x="313"/>
        <item x="61"/>
        <item x="371"/>
        <item x="516"/>
        <item x="95"/>
        <item x="182"/>
        <item x="295"/>
        <item x="559"/>
        <item x="414"/>
        <item x="166"/>
        <item x="677"/>
        <item x="467"/>
        <item x="308"/>
        <item x="309"/>
        <item x="349"/>
        <item x="343"/>
        <item x="175"/>
        <item x="713"/>
        <item x="104"/>
        <item x="42"/>
        <item x="429"/>
        <item x="350"/>
        <item x="422"/>
        <item x="211"/>
        <item x="77"/>
        <item x="252"/>
        <item x="430"/>
        <item x="109"/>
        <item x="487"/>
        <item x="300"/>
        <item x="415"/>
        <item x="246"/>
        <item x="676"/>
        <item x="547"/>
        <item x="496"/>
        <item x="147"/>
        <item x="688"/>
        <item x="470"/>
        <item x="133"/>
        <item x="362"/>
        <item x="18"/>
        <item x="471"/>
        <item x="563"/>
        <item x="177"/>
        <item x="63"/>
        <item x="233"/>
        <item x="433"/>
        <item x="333"/>
        <item x="595"/>
        <item x="198"/>
        <item x="657"/>
        <item x="319"/>
        <item x="439"/>
        <item x="38"/>
        <item x="145"/>
        <item x="31"/>
        <item x="314"/>
        <item x="216"/>
        <item x="499"/>
        <item x="251"/>
        <item x="37"/>
        <item x="632"/>
        <item x="247"/>
        <item x="170"/>
        <item x="456"/>
        <item x="278"/>
        <item x="458"/>
        <item x="377"/>
        <item x="318"/>
        <item x="132"/>
        <item x="110"/>
        <item x="347"/>
        <item x="210"/>
        <item x="631"/>
        <item x="669"/>
        <item x="640"/>
        <item x="287"/>
        <item x="267"/>
        <item x="702"/>
        <item x="486"/>
        <item x="124"/>
        <item x="1"/>
        <item x="258"/>
        <item x="483"/>
        <item x="218"/>
        <item x="507"/>
        <item x="666"/>
        <item x="497"/>
        <item x="163"/>
        <item x="407"/>
        <item x="290"/>
        <item x="717"/>
        <item x="573"/>
        <item x="187"/>
        <item x="404"/>
        <item x="537"/>
        <item x="613"/>
        <item x="224"/>
        <item x="101"/>
        <item x="6"/>
        <item x="19"/>
        <item x="256"/>
        <item x="575"/>
        <item x="637"/>
        <item x="617"/>
        <item x="16"/>
        <item x="568"/>
        <item x="461"/>
        <item x="238"/>
        <item x="276"/>
        <item x="336"/>
        <item x="689"/>
        <item x="444"/>
        <item x="596"/>
        <item x="346"/>
        <item x="80"/>
        <item x="323"/>
        <item x="553"/>
        <item x="281"/>
        <item x="344"/>
        <item x="301"/>
        <item x="455"/>
        <item x="135"/>
        <item x="192"/>
        <item x="619"/>
        <item x="379"/>
        <item x="402"/>
        <item x="643"/>
        <item x="393"/>
        <item x="229"/>
        <item x="549"/>
        <item x="128"/>
        <item x="546"/>
        <item x="504"/>
        <item x="642"/>
        <item x="83"/>
        <item x="540"/>
        <item x="536"/>
        <item x="125"/>
        <item x="217"/>
        <item x="129"/>
        <item x="325"/>
        <item x="274"/>
        <item x="199"/>
        <item x="451"/>
        <item x="327"/>
        <item x="78"/>
        <item x="367"/>
        <item x="173"/>
        <item x="633"/>
        <item x="366"/>
        <item x="594"/>
        <item x="400"/>
        <item x="680"/>
        <item x="701"/>
        <item x="551"/>
        <item x="7"/>
        <item x="397"/>
        <item x="695"/>
        <item x="29"/>
        <item x="703"/>
        <item x="353"/>
        <item x="605"/>
        <item x="710"/>
        <item x="178"/>
        <item x="700"/>
        <item x="176"/>
        <item x="590"/>
        <item x="401"/>
        <item x="550"/>
        <item x="511"/>
        <item x="168"/>
        <item x="381"/>
        <item x="603"/>
        <item x="534"/>
        <item x="386"/>
        <item x="475"/>
        <item x="490"/>
        <item x="390"/>
        <item x="589"/>
        <item x="530"/>
        <item x="56"/>
        <item x="656"/>
        <item x="398"/>
        <item x="161"/>
        <item x="32"/>
        <item x="186"/>
        <item x="634"/>
        <item x="627"/>
        <item x="597"/>
        <item x="368"/>
        <item x="691"/>
        <item x="460"/>
        <item x="334"/>
        <item x="58"/>
        <item x="699"/>
        <item x="578"/>
        <item x="387"/>
        <item x="231"/>
        <item x="416"/>
        <item x="567"/>
        <item x="569"/>
        <item x="417"/>
        <item x="576"/>
        <item x="452"/>
        <item x="623"/>
        <item x="22"/>
        <item x="533"/>
        <item x="57"/>
        <item x="64"/>
        <item x="554"/>
        <item x="240"/>
        <item x="616"/>
        <item x="2"/>
        <item x="628"/>
        <item x="113"/>
        <item x="249"/>
        <item x="91"/>
        <item x="106"/>
        <item x="220"/>
        <item x="446"/>
        <item x="630"/>
        <item x="651"/>
        <item x="39"/>
        <item x="306"/>
        <item x="164"/>
        <item x="574"/>
        <item x="615"/>
        <item x="539"/>
        <item x="588"/>
        <item x="503"/>
        <item x="620"/>
        <item x="555"/>
        <item x="84"/>
        <item x="707"/>
        <item x="330"/>
        <item x="638"/>
        <item x="606"/>
        <item x="693"/>
        <item x="53"/>
        <item x="510"/>
        <item x="372"/>
        <item x="466"/>
        <item x="331"/>
        <item x="426"/>
        <item x="438"/>
        <item x="59"/>
        <item x="375"/>
        <item x="355"/>
        <item x="706"/>
        <item x="8"/>
        <item x="228"/>
        <item x="520"/>
        <item x="373"/>
        <item x="131"/>
        <item x="180"/>
        <item x="635"/>
        <item x="493"/>
        <item x="262"/>
        <item x="86"/>
        <item x="587"/>
        <item x="9"/>
        <item x="667"/>
        <item x="488"/>
        <item x="298"/>
        <item x="321"/>
        <item x="501"/>
        <item x="675"/>
        <item x="440"/>
        <item x="115"/>
        <item x="431"/>
        <item x="242"/>
        <item x="582"/>
        <item x="450"/>
        <item x="457"/>
        <item x="55"/>
        <item x="469"/>
        <item x="636"/>
        <item x="114"/>
        <item x="521"/>
        <item x="312"/>
        <item x="120"/>
        <item x="36"/>
        <item x="468"/>
        <item x="237"/>
        <item x="399"/>
        <item x="647"/>
        <item x="121"/>
        <item x="116"/>
        <item x="462"/>
        <item x="87"/>
        <item x="329"/>
        <item x="342"/>
        <item x="47"/>
        <item x="661"/>
        <item x="103"/>
        <item x="79"/>
        <item x="149"/>
        <item x="292"/>
        <item x="241"/>
        <item x="447"/>
        <item x="35"/>
        <item x="227"/>
        <item x="524"/>
        <item x="565"/>
        <item x="189"/>
        <item x="453"/>
        <item x="385"/>
        <item x="67"/>
        <item x="671"/>
        <item x="26"/>
        <item x="71"/>
        <item x="273"/>
        <item x="316"/>
        <item x="523"/>
        <item x="544"/>
        <item x="66"/>
        <item x="427"/>
        <item x="383"/>
        <item x="46"/>
        <item x="561"/>
        <item x="363"/>
        <item x="81"/>
        <item x="459"/>
        <item x="90"/>
        <item x="188"/>
        <item x="522"/>
        <item x="250"/>
        <item x="348"/>
        <item x="659"/>
        <item x="599"/>
        <item x="395"/>
        <item x="111"/>
        <item x="244"/>
        <item x="720"/>
        <item x="714"/>
        <item x="34"/>
        <item x="591"/>
        <item x="679"/>
        <item x="614"/>
        <item x="664"/>
        <item x="17"/>
        <item x="156"/>
        <item x="598"/>
        <item x="263"/>
        <item x="525"/>
        <item x="119"/>
        <item x="225"/>
        <item x="649"/>
        <item x="160"/>
        <item x="226"/>
        <item x="102"/>
        <item x="337"/>
        <item x="378"/>
        <item x="577"/>
        <item x="299"/>
        <item x="4"/>
        <item x="185"/>
        <item x="324"/>
        <item x="291"/>
        <item x="593"/>
        <item x="364"/>
        <item x="696"/>
        <item x="82"/>
        <item x="423"/>
        <item x="384"/>
        <item x="391"/>
        <item x="206"/>
        <item x="681"/>
        <item x="266"/>
        <item x="172"/>
        <item x="277"/>
        <item x="531"/>
        <item x="49"/>
        <item x="52"/>
        <item x="234"/>
        <item x="580"/>
        <item x="388"/>
        <item x="662"/>
        <item x="130"/>
        <item x="360"/>
        <item x="356"/>
        <item x="151"/>
        <item x="134"/>
        <item x="684"/>
        <item x="25"/>
        <item x="665"/>
        <item x="441"/>
        <item x="498"/>
        <item x="341"/>
        <item x="43"/>
        <item x="260"/>
        <item x="508"/>
        <item x="410"/>
        <item x="184"/>
        <item x="389"/>
        <item x="54"/>
        <item x="215"/>
        <item x="365"/>
        <item x="72"/>
        <item x="351"/>
        <item x="194"/>
        <item x="609"/>
        <item x="23"/>
        <item x="268"/>
        <item x="506"/>
        <item x="100"/>
        <item x="254"/>
        <item x="338"/>
        <item x="305"/>
        <item x="24"/>
        <item x="607"/>
        <item x="253"/>
        <item x="271"/>
        <item x="11"/>
        <item x="541"/>
        <item x="583"/>
        <item x="712"/>
        <item x="98"/>
        <item x="112"/>
        <item x="239"/>
        <item x="248"/>
        <item x="65"/>
        <item x="165"/>
        <item x="445"/>
        <item x="602"/>
        <item x="181"/>
        <item x="13"/>
        <item x="624"/>
        <item x="207"/>
        <item x="394"/>
        <item x="222"/>
        <item x="88"/>
        <item x="203"/>
        <item x="419"/>
        <item x="424"/>
        <item x="193"/>
        <item x="205"/>
        <item x="204"/>
        <item x="3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4">
        <item x="15"/>
        <item x="5"/>
        <item x="12"/>
        <item x="10"/>
        <item x="8"/>
        <item x="0"/>
        <item x="22"/>
        <item x="3"/>
        <item x="2"/>
        <item x="16"/>
        <item x="6"/>
        <item x="14"/>
        <item x="9"/>
        <item x="13"/>
        <item x="7"/>
        <item x="20"/>
        <item x="19"/>
        <item x="17"/>
        <item x="4"/>
        <item x="18"/>
        <item x="21"/>
        <item x="1"/>
        <item x="11"/>
        <item t="default"/>
      </items>
    </pivotField>
    <pivotField dataField="1" showAll="0"/>
  </pivotFields>
  <rowFields count="1">
    <field x="2"/>
  </rowFields>
  <rowItems count="723">
    <i>
      <x v="67"/>
    </i>
    <i>
      <x v="277"/>
    </i>
    <i>
      <x v="559"/>
    </i>
    <i>
      <x v="142"/>
    </i>
    <i>
      <x v="335"/>
    </i>
    <i>
      <x v="216"/>
    </i>
    <i>
      <x v="494"/>
    </i>
    <i>
      <x v="99"/>
    </i>
    <i>
      <x v="592"/>
    </i>
    <i>
      <x v="18"/>
    </i>
    <i>
      <x v="687"/>
    </i>
    <i>
      <x v="543"/>
    </i>
    <i>
      <x v="332"/>
    </i>
    <i>
      <x v="128"/>
    </i>
    <i>
      <x v="695"/>
    </i>
    <i>
      <x v="676"/>
    </i>
    <i>
      <x v="328"/>
    </i>
    <i>
      <x v="540"/>
    </i>
    <i>
      <x v="98"/>
    </i>
    <i>
      <x v="541"/>
    </i>
    <i>
      <x v="11"/>
    </i>
    <i>
      <x v="702"/>
    </i>
    <i>
      <x v="599"/>
    </i>
    <i>
      <x v="469"/>
    </i>
    <i>
      <x v="303"/>
    </i>
    <i>
      <x v="163"/>
    </i>
    <i>
      <x v="372"/>
    </i>
    <i>
      <x v="63"/>
    </i>
    <i>
      <x v="713"/>
    </i>
    <i>
      <x v="23"/>
    </i>
    <i>
      <x v="440"/>
    </i>
    <i>
      <x v="16"/>
    </i>
    <i>
      <x v="631"/>
    </i>
    <i>
      <x v="442"/>
    </i>
    <i>
      <x v="308"/>
    </i>
    <i>
      <x v="265"/>
    </i>
    <i>
      <x v="312"/>
    </i>
    <i>
      <x v="113"/>
    </i>
    <i>
      <x v="437"/>
    </i>
    <i>
      <x v="330"/>
    </i>
    <i>
      <x v="157"/>
    </i>
    <i>
      <x v="473"/>
    </i>
    <i>
      <x v="337"/>
    </i>
    <i>
      <x v="623"/>
    </i>
    <i>
      <x v="276"/>
    </i>
    <i>
      <x v="397"/>
    </i>
    <i>
      <x v="33"/>
    </i>
    <i>
      <x v="648"/>
    </i>
    <i>
      <x v="283"/>
    </i>
    <i>
      <x v="703"/>
    </i>
    <i>
      <x v="404"/>
    </i>
    <i>
      <x v="356"/>
    </i>
    <i>
      <x v="600"/>
    </i>
    <i>
      <x v="536"/>
    </i>
    <i>
      <x v="471"/>
    </i>
    <i>
      <x v="664"/>
    </i>
    <i>
      <x v="433"/>
    </i>
    <i>
      <x v="310"/>
    </i>
    <i>
      <x v="72"/>
    </i>
    <i>
      <x v="208"/>
    </i>
    <i>
      <x v="143"/>
    </i>
    <i>
      <x v="363"/>
    </i>
    <i>
      <x v="307"/>
    </i>
    <i>
      <x v="568"/>
    </i>
    <i>
      <x v="229"/>
    </i>
    <i>
      <x v="203"/>
    </i>
    <i>
      <x v="212"/>
    </i>
    <i>
      <x v="527"/>
    </i>
    <i>
      <x v="343"/>
    </i>
    <i>
      <x v="353"/>
    </i>
    <i>
      <x v="661"/>
    </i>
    <i>
      <x v="699"/>
    </i>
    <i>
      <x v="42"/>
    </i>
    <i>
      <x v="467"/>
    </i>
    <i>
      <x v="685"/>
    </i>
    <i>
      <x v="484"/>
    </i>
    <i>
      <x v="421"/>
    </i>
    <i>
      <x v="677"/>
    </i>
    <i>
      <x v="490"/>
    </i>
    <i>
      <x v="496"/>
    </i>
    <i>
      <x v="57"/>
    </i>
    <i>
      <x v="278"/>
    </i>
    <i>
      <x v="709"/>
    </i>
    <i>
      <x v="117"/>
    </i>
    <i>
      <x v="200"/>
    </i>
    <i>
      <x v="112"/>
    </i>
    <i>
      <x v="293"/>
    </i>
    <i>
      <x v="126"/>
    </i>
    <i>
      <x v="290"/>
    </i>
    <i>
      <x v="352"/>
    </i>
    <i>
      <x v="450"/>
    </i>
    <i>
      <x v="497"/>
    </i>
    <i>
      <x v="285"/>
    </i>
    <i>
      <x v="80"/>
    </i>
    <i>
      <x v="140"/>
    </i>
    <i>
      <x v="517"/>
    </i>
    <i>
      <x v="306"/>
    </i>
    <i>
      <x v="177"/>
    </i>
    <i>
      <x v="141"/>
    </i>
    <i>
      <x v="453"/>
    </i>
    <i>
      <x v="720"/>
    </i>
    <i>
      <x v="201"/>
    </i>
    <i>
      <x v="150"/>
    </i>
    <i>
      <x v="642"/>
    </i>
    <i>
      <x v="401"/>
    </i>
    <i>
      <x v="654"/>
    </i>
    <i>
      <x v="379"/>
    </i>
    <i>
      <x v="156"/>
    </i>
    <i>
      <x v="301"/>
    </i>
    <i>
      <x v="485"/>
    </i>
    <i>
      <x v="186"/>
    </i>
    <i>
      <x v="714"/>
    </i>
    <i>
      <x v="643"/>
    </i>
    <i>
      <x v="572"/>
    </i>
    <i>
      <x v="672"/>
    </i>
    <i>
      <x v="334"/>
    </i>
    <i>
      <x v="333"/>
    </i>
    <i>
      <x v="336"/>
    </i>
    <i>
      <x v="68"/>
    </i>
    <i>
      <x v="378"/>
    </i>
    <i>
      <x v="459"/>
    </i>
    <i>
      <x v="51"/>
    </i>
    <i>
      <x v="580"/>
    </i>
    <i>
      <x v="14"/>
    </i>
    <i>
      <x v="129"/>
    </i>
    <i>
      <x v="477"/>
    </i>
    <i>
      <x v="486"/>
    </i>
    <i>
      <x v="193"/>
    </i>
    <i>
      <x v="393"/>
    </i>
    <i>
      <x v="667"/>
    </i>
    <i>
      <x v="624"/>
    </i>
    <i>
      <x v="381"/>
    </i>
    <i>
      <x v="435"/>
    </i>
    <i>
      <x v="96"/>
    </i>
    <i>
      <x v="520"/>
    </i>
    <i>
      <x v="431"/>
    </i>
    <i>
      <x v="131"/>
    </i>
    <i>
      <x v="56"/>
    </i>
    <i>
      <x v="574"/>
    </i>
    <i>
      <x v="360"/>
    </i>
    <i>
      <x v="553"/>
    </i>
    <i>
      <x v="609"/>
    </i>
    <i>
      <x v="172"/>
    </i>
    <i>
      <x v="407"/>
    </i>
    <i>
      <x v="64"/>
    </i>
    <i>
      <x v="251"/>
    </i>
    <i>
      <x v="85"/>
    </i>
    <i>
      <x v="443"/>
    </i>
    <i>
      <x v="439"/>
    </i>
    <i>
      <x v="350"/>
    </i>
    <i>
      <x v="344"/>
    </i>
    <i>
      <x v="125"/>
    </i>
    <i>
      <x v="65"/>
    </i>
    <i>
      <x v="5"/>
    </i>
    <i>
      <x v="168"/>
    </i>
    <i>
      <x v="673"/>
    </i>
    <i>
      <x v="441"/>
    </i>
    <i>
      <x v="532"/>
    </i>
    <i>
      <x v="626"/>
    </i>
    <i>
      <x v="696"/>
    </i>
    <i>
      <x v="483"/>
    </i>
    <i>
      <x v="619"/>
    </i>
    <i>
      <x v="655"/>
    </i>
    <i>
      <x v="591"/>
    </i>
    <i>
      <x v="279"/>
    </i>
    <i>
      <x v="103"/>
    </i>
    <i>
      <x v="247"/>
    </i>
    <i>
      <x v="287"/>
    </i>
    <i>
      <x v="95"/>
    </i>
    <i>
      <x v="305"/>
    </i>
    <i>
      <x v="349"/>
    </i>
    <i>
      <x v="167"/>
    </i>
    <i>
      <x v="199"/>
    </i>
    <i>
      <x v="594"/>
    </i>
    <i>
      <x v="596"/>
    </i>
    <i>
      <x v="313"/>
    </i>
    <i>
      <x v="59"/>
    </i>
    <i>
      <x v="73"/>
    </i>
    <i>
      <x v="704"/>
    </i>
    <i>
      <x v="399"/>
    </i>
    <i>
      <x v="249"/>
    </i>
    <i>
      <x v="294"/>
    </i>
    <i>
      <x v="248"/>
    </i>
    <i>
      <x v="429"/>
    </i>
    <i>
      <x v="428"/>
    </i>
    <i>
      <x v="589"/>
    </i>
    <i>
      <x v="161"/>
    </i>
    <i>
      <x v="538"/>
    </i>
    <i>
      <x v="515"/>
    </i>
    <i>
      <x v="663"/>
    </i>
    <i>
      <x v="71"/>
    </i>
    <i>
      <x v="711"/>
    </i>
    <i>
      <x v="570"/>
    </i>
    <i>
      <x v="284"/>
    </i>
    <i>
      <x v="427"/>
    </i>
    <i>
      <x v="45"/>
    </i>
    <i>
      <x v="712"/>
    </i>
    <i>
      <x v="309"/>
    </i>
    <i>
      <x v="705"/>
    </i>
    <i>
      <x v="259"/>
    </i>
    <i>
      <x v="180"/>
    </i>
    <i>
      <x v="423"/>
    </i>
    <i>
      <x v="662"/>
    </i>
    <i>
      <x v="136"/>
    </i>
    <i>
      <x v="83"/>
    </i>
    <i>
      <x v="2"/>
    </i>
    <i>
      <x v="478"/>
    </i>
    <i>
      <x v="153"/>
    </i>
    <i>
      <x v="297"/>
    </i>
    <i>
      <x v="10"/>
    </i>
    <i>
      <x v="148"/>
    </i>
    <i>
      <x v="225"/>
    </i>
    <i>
      <x v="578"/>
    </i>
    <i>
      <x v="691"/>
    </i>
    <i>
      <x v="209"/>
    </i>
    <i>
      <x v="92"/>
    </i>
    <i>
      <x v="531"/>
    </i>
    <i>
      <x v="694"/>
    </i>
    <i>
      <x v="688"/>
    </i>
    <i>
      <x v="164"/>
    </i>
    <i>
      <x v="36"/>
    </i>
    <i>
      <x v="452"/>
    </i>
    <i>
      <x v="438"/>
    </i>
    <i>
      <x v="390"/>
    </i>
    <i>
      <x v="593"/>
    </i>
    <i>
      <x v="121"/>
    </i>
    <i>
      <x v="30"/>
    </i>
    <i>
      <x v="365"/>
    </i>
    <i>
      <x v="708"/>
    </i>
    <i>
      <x v="555"/>
    </i>
    <i>
      <x v="122"/>
    </i>
    <i>
      <x v="529"/>
    </i>
    <i>
      <x v="686"/>
    </i>
    <i>
      <x v="498"/>
    </i>
    <i>
      <x v="499"/>
    </i>
    <i>
      <x v="86"/>
    </i>
    <i>
      <x v="110"/>
    </i>
    <i>
      <x v="509"/>
    </i>
    <i>
      <x v="658"/>
    </i>
    <i>
      <x v="548"/>
    </i>
    <i>
      <x v="524"/>
    </i>
    <i>
      <x v="715"/>
    </i>
    <i>
      <x v="239"/>
    </i>
    <i>
      <x v="120"/>
    </i>
    <i>
      <x v="616"/>
    </i>
    <i>
      <x v="395"/>
    </i>
    <i>
      <x v="81"/>
    </i>
    <i>
      <x v="111"/>
    </i>
    <i>
      <x v="342"/>
    </i>
    <i>
      <x v="537"/>
    </i>
    <i>
      <x v="573"/>
    </i>
    <i>
      <x v="644"/>
    </i>
    <i>
      <x v="204"/>
    </i>
    <i>
      <x v="21"/>
    </i>
    <i>
      <x v="37"/>
    </i>
    <i>
      <x v="54"/>
    </i>
    <i>
      <x v="554"/>
    </i>
    <i>
      <x v="679"/>
    </i>
    <i>
      <x v="445"/>
    </i>
    <i>
      <x v="657"/>
    </i>
    <i>
      <x v="134"/>
    </i>
    <i>
      <x v="628"/>
    </i>
    <i>
      <x v="571"/>
    </i>
    <i>
      <x v="254"/>
    </i>
    <i>
      <x v="250"/>
    </i>
    <i>
      <x v="560"/>
    </i>
    <i>
      <x v="470"/>
    </i>
    <i>
      <x v="456"/>
    </i>
    <i>
      <x v="41"/>
    </i>
    <i>
      <x v="300"/>
    </i>
    <i>
      <x v="93"/>
    </i>
    <i>
      <x v="187"/>
    </i>
    <i>
      <x v="149"/>
    </i>
    <i>
      <x v="355"/>
    </i>
    <i>
      <x v="511"/>
    </i>
    <i>
      <x v="331"/>
    </i>
    <i>
      <x v="329"/>
    </i>
    <i>
      <x v="327"/>
    </i>
    <i>
      <x v="50"/>
    </i>
    <i>
      <x v="668"/>
    </i>
    <i>
      <x v="53"/>
    </i>
    <i>
      <x v="90"/>
    </i>
    <i>
      <x v="649"/>
    </i>
    <i>
      <x v="474"/>
    </i>
    <i>
      <x v="368"/>
    </i>
    <i>
      <x v="406"/>
    </i>
    <i>
      <x v="130"/>
    </i>
    <i>
      <x v="675"/>
    </i>
    <i>
      <x v="88"/>
    </i>
    <i>
      <x v="58"/>
    </i>
    <i>
      <x v="217"/>
    </i>
    <i>
      <x v="420"/>
    </i>
    <i>
      <x v="487"/>
    </i>
    <i>
      <x v="503"/>
    </i>
    <i>
      <x v="434"/>
    </i>
    <i>
      <x v="523"/>
    </i>
    <i>
      <x v="507"/>
    </i>
    <i>
      <x v="436"/>
    </i>
    <i>
      <x v="622"/>
    </i>
    <i>
      <x v="447"/>
    </i>
    <i>
      <x v="408"/>
    </i>
    <i>
      <x v="689"/>
    </i>
    <i>
      <x v="625"/>
    </i>
    <i>
      <x v="558"/>
    </i>
    <i>
      <x v="382"/>
    </i>
    <i>
      <x v="615"/>
    </i>
    <i>
      <x v="182"/>
    </i>
    <i>
      <x v="273"/>
    </i>
    <i>
      <x v="256"/>
    </i>
    <i>
      <x v="346"/>
    </i>
    <i>
      <x v="19"/>
    </i>
    <i>
      <x v="322"/>
    </i>
    <i>
      <x v="403"/>
    </i>
    <i>
      <x v="319"/>
    </i>
    <i>
      <x v="588"/>
    </i>
    <i>
      <x v="314"/>
    </i>
    <i>
      <x v="6"/>
    </i>
    <i>
      <x v="133"/>
    </i>
    <i>
      <x v="505"/>
    </i>
    <i>
      <x v="707"/>
    </i>
    <i>
      <x v="603"/>
    </i>
    <i>
      <x v="510"/>
    </i>
    <i>
      <x v="576"/>
    </i>
    <i>
      <x v="392"/>
    </i>
    <i>
      <x v="597"/>
    </i>
    <i>
      <x v="8"/>
    </i>
    <i>
      <x v="137"/>
    </i>
    <i>
      <x v="241"/>
    </i>
    <i>
      <x v="700"/>
    </i>
    <i>
      <x v="184"/>
    </i>
    <i>
      <x v="286"/>
    </i>
    <i>
      <x v="369"/>
    </i>
    <i>
      <x v="546"/>
    </i>
    <i>
      <x v="17"/>
    </i>
    <i>
      <x v="454"/>
    </i>
    <i>
      <x v="577"/>
    </i>
    <i>
      <x v="106"/>
    </i>
    <i>
      <x v="638"/>
    </i>
    <i>
      <x v="697"/>
    </i>
    <i>
      <x v="562"/>
    </i>
    <i>
      <x v="205"/>
    </i>
    <i>
      <x v="40"/>
    </i>
    <i>
      <x v="210"/>
    </i>
    <i>
      <x v="317"/>
    </i>
    <i>
      <x v="62"/>
    </i>
    <i>
      <x v="24"/>
    </i>
    <i>
      <x v="341"/>
    </i>
    <i>
      <x v="637"/>
    </i>
    <i>
      <x v="513"/>
    </i>
    <i>
      <x v="514"/>
    </i>
    <i>
      <x v="586"/>
    </i>
    <i>
      <x v="636"/>
    </i>
    <i>
      <x v="214"/>
    </i>
    <i>
      <x v="165"/>
    </i>
    <i>
      <x v="158"/>
    </i>
    <i>
      <x v="320"/>
    </i>
    <i>
      <x v="169"/>
    </i>
    <i>
      <x v="102"/>
    </i>
    <i>
      <x v="690"/>
    </i>
    <i>
      <x v="516"/>
    </i>
    <i>
      <x v="539"/>
    </i>
    <i>
      <x v="606"/>
    </i>
    <i>
      <x v="669"/>
    </i>
    <i>
      <x v="652"/>
    </i>
    <i>
      <x v="584"/>
    </i>
    <i>
      <x v="376"/>
    </i>
    <i>
      <x v="501"/>
    </i>
    <i>
      <x v="311"/>
    </i>
    <i>
      <x v="266"/>
    </i>
    <i>
      <x v="91"/>
    </i>
    <i>
      <x v="238"/>
    </i>
    <i>
      <x v="26"/>
    </i>
    <i>
      <x v="9"/>
    </i>
    <i>
      <x v="190"/>
    </i>
    <i>
      <x v="61"/>
    </i>
    <i>
      <x v="114"/>
    </i>
    <i>
      <x v="281"/>
    </i>
    <i>
      <x v="198"/>
    </i>
    <i>
      <x v="195"/>
    </i>
    <i>
      <x v="207"/>
    </i>
    <i>
      <x v="206"/>
    </i>
    <i>
      <x v="185"/>
    </i>
    <i>
      <x v="424"/>
    </i>
    <i>
      <x v="385"/>
    </i>
    <i>
      <x v="325"/>
    </i>
    <i>
      <x v="684"/>
    </i>
    <i>
      <x v="567"/>
    </i>
    <i>
      <x v="366"/>
    </i>
    <i>
      <x v="425"/>
    </i>
    <i>
      <x v="426"/>
    </i>
    <i>
      <x v="565"/>
    </i>
    <i>
      <x v="681"/>
    </i>
    <i>
      <x v="32"/>
    </i>
    <i>
      <x v="645"/>
    </i>
    <i>
      <x v="444"/>
    </i>
    <i>
      <x v="197"/>
    </i>
    <i>
      <x v="43"/>
    </i>
    <i>
      <x v="502"/>
    </i>
    <i>
      <x v="282"/>
    </i>
    <i>
      <x v="192"/>
    </i>
    <i>
      <x v="398"/>
    </i>
    <i>
      <x v="482"/>
    </i>
    <i>
      <x v="666"/>
    </i>
    <i>
      <x v="579"/>
    </i>
    <i>
      <x v="118"/>
    </i>
    <i>
      <x v="39"/>
    </i>
    <i>
      <x v="476"/>
    </i>
    <i>
      <x v="693"/>
    </i>
    <i>
      <x v="462"/>
    </i>
    <i>
      <x v="227"/>
    </i>
    <i>
      <x v="338"/>
    </i>
    <i>
      <x v="359"/>
    </i>
    <i>
      <x v="60"/>
    </i>
    <i>
      <x v="495"/>
    </i>
    <i>
      <x v="582"/>
    </i>
    <i>
      <x v="257"/>
    </i>
    <i>
      <x v="4"/>
    </i>
    <i>
      <x v="188"/>
    </i>
    <i>
      <x v="721"/>
    </i>
    <i>
      <x v="460"/>
    </i>
    <i>
      <x v="405"/>
    </i>
    <i>
      <x v="692"/>
    </i>
    <i>
      <x v="504"/>
    </i>
    <i>
      <x v="605"/>
    </i>
    <i>
      <x v="235"/>
    </i>
    <i>
      <x v="22"/>
    </i>
    <i>
      <x v="179"/>
    </i>
    <i>
      <x v="271"/>
    </i>
    <i>
      <x v="608"/>
    </i>
    <i>
      <x v="396"/>
    </i>
    <i>
      <x v="621"/>
    </i>
    <i>
      <x v="230"/>
    </i>
    <i>
      <x v="242"/>
    </i>
    <i>
      <x v="280"/>
    </i>
    <i>
      <x v="617"/>
    </i>
    <i>
      <x v="465"/>
    </i>
    <i>
      <x v="463"/>
    </i>
    <i>
      <x v="323"/>
    </i>
    <i>
      <x v="650"/>
    </i>
    <i>
      <x v="671"/>
    </i>
    <i>
      <x v="647"/>
    </i>
    <i>
      <x v="717"/>
    </i>
    <i>
      <x v="716"/>
    </i>
    <i>
      <x v="718"/>
    </i>
    <i>
      <x v="100"/>
    </i>
    <i>
      <x v="268"/>
    </i>
    <i>
      <x v="291"/>
    </i>
    <i>
      <x v="413"/>
    </i>
    <i>
      <x v="415"/>
    </i>
    <i>
      <x v="412"/>
    </i>
    <i>
      <x v="419"/>
    </i>
    <i>
      <x v="618"/>
    </i>
    <i>
      <x v="146"/>
    </i>
    <i>
      <x v="252"/>
    </i>
    <i>
      <x v="124"/>
    </i>
    <i>
      <x v="272"/>
    </i>
    <i>
      <x v="79"/>
    </i>
    <i>
      <x v="245"/>
    </i>
    <i>
      <x v="236"/>
    </i>
    <i>
      <x v="489"/>
    </i>
    <i>
      <x v="387"/>
    </i>
    <i>
      <x v="639"/>
    </i>
    <i>
      <x v="46"/>
    </i>
    <i>
      <x v="75"/>
    </i>
    <i>
      <x v="123"/>
    </i>
    <i>
      <x v="604"/>
    </i>
    <i>
      <x v="598"/>
    </i>
    <i>
      <x v="525"/>
    </i>
    <i>
      <x v="641"/>
    </i>
    <i>
      <x v="38"/>
    </i>
    <i>
      <x v="377"/>
    </i>
    <i>
      <x v="635"/>
    </i>
    <i>
      <x v="221"/>
    </i>
    <i>
      <x v="255"/>
    </i>
    <i>
      <x v="274"/>
    </i>
    <i>
      <x v="321"/>
    </i>
    <i>
      <x v="302"/>
    </i>
    <i>
      <x v="115"/>
    </i>
    <i>
      <x v="264"/>
    </i>
    <i>
      <x v="66"/>
    </i>
    <i>
      <x v="701"/>
    </i>
    <i>
      <x v="458"/>
    </i>
    <i>
      <x v="518"/>
    </i>
    <i>
      <x v="557"/>
    </i>
    <i>
      <x v="409"/>
    </i>
    <i>
      <x v="29"/>
    </i>
    <i>
      <x v="220"/>
    </i>
    <i>
      <x v="634"/>
    </i>
    <i>
      <x v="31"/>
    </i>
    <i>
      <x v="15"/>
    </i>
    <i>
      <x v="84"/>
    </i>
    <i>
      <x v="138"/>
    </i>
    <i>
      <x v="614"/>
    </i>
    <i>
      <x v="166"/>
    </i>
    <i>
      <x v="74"/>
    </i>
    <i>
      <x v="550"/>
    </i>
    <i>
      <x v="430"/>
    </i>
    <i>
      <x v="27"/>
    </i>
    <i>
      <x v="601"/>
    </i>
    <i>
      <x v="289"/>
    </i>
    <i>
      <x v="171"/>
    </i>
    <i>
      <x v="263"/>
    </i>
    <i>
      <x v="432"/>
    </i>
    <i>
      <x v="55"/>
    </i>
    <i>
      <x v="706"/>
    </i>
    <i>
      <x v="160"/>
    </i>
    <i>
      <x v="464"/>
    </i>
    <i>
      <x v="607"/>
    </i>
    <i>
      <x v="455"/>
    </i>
    <i>
      <x v="226"/>
    </i>
    <i>
      <x v="260"/>
    </i>
    <i>
      <x v="228"/>
    </i>
    <i>
      <x v="202"/>
    </i>
    <i>
      <x v="196"/>
    </i>
    <i>
      <x v="659"/>
    </i>
    <i>
      <x v="383"/>
    </i>
    <i>
      <x v="223"/>
    </i>
    <i>
      <x v="521"/>
    </i>
    <i>
      <x v="448"/>
    </i>
    <i>
      <x v="82"/>
    </i>
    <i>
      <x v="354"/>
    </i>
    <i>
      <x v="116"/>
    </i>
    <i>
      <x v="232"/>
    </i>
    <i>
      <x v="674"/>
    </i>
    <i>
      <x v="52"/>
    </i>
    <i>
      <x v="535"/>
    </i>
    <i>
      <x v="612"/>
    </i>
    <i>
      <x v="154"/>
    </i>
    <i>
      <x v="318"/>
    </i>
    <i>
      <x v="70"/>
    </i>
    <i>
      <x v="683"/>
    </i>
    <i>
      <x v="678"/>
    </i>
    <i>
      <x v="449"/>
    </i>
    <i>
      <x v="292"/>
    </i>
    <i>
      <x v="127"/>
    </i>
    <i>
      <x v="357"/>
    </i>
    <i>
      <x v="500"/>
    </i>
    <i>
      <x v="556"/>
    </i>
    <i>
      <x v="563"/>
    </i>
    <i>
      <x v="267"/>
    </i>
    <i>
      <x v="183"/>
    </i>
    <i>
      <x v="253"/>
    </i>
    <i>
      <x v="119"/>
    </i>
    <i>
      <x v="542"/>
    </i>
    <i>
      <x v="326"/>
    </i>
    <i>
      <x v="630"/>
    </i>
    <i>
      <x v="194"/>
    </i>
    <i>
      <x v="77"/>
    </i>
    <i>
      <x v="370"/>
    </i>
    <i>
      <x v="402"/>
    </i>
    <i>
      <x v="457"/>
    </i>
    <i>
      <x v="159"/>
    </i>
    <i>
      <x v="13"/>
    </i>
    <i>
      <x v="552"/>
    </i>
    <i>
      <x v="361"/>
    </i>
    <i>
      <x v="351"/>
    </i>
    <i>
      <x v="451"/>
    </i>
    <i>
      <x v="508"/>
    </i>
    <i>
      <x v="526"/>
    </i>
    <i>
      <x v="640"/>
    </i>
    <i>
      <x v="633"/>
    </i>
    <i>
      <x v="261"/>
    </i>
    <i>
      <x v="233"/>
    </i>
    <i>
      <x v="108"/>
    </i>
    <i>
      <x v="411"/>
    </i>
    <i>
      <x v="222"/>
    </i>
    <i>
      <x v="611"/>
    </i>
    <i>
      <x v="316"/>
    </i>
    <i>
      <x v="629"/>
    </i>
    <i>
      <x v="595"/>
    </i>
    <i>
      <x v="224"/>
    </i>
    <i>
      <x v="178"/>
    </i>
    <i>
      <x v="237"/>
    </i>
    <i>
      <x v="258"/>
    </i>
    <i>
      <x v="551"/>
    </i>
    <i>
      <x v="544"/>
    </i>
    <i>
      <x v="410"/>
    </i>
    <i>
      <x v="475"/>
    </i>
    <i>
      <x v="152"/>
    </i>
    <i>
      <x v="315"/>
    </i>
    <i>
      <x v="528"/>
    </i>
    <i>
      <x v="380"/>
    </i>
    <i>
      <x v="590"/>
    </i>
    <i>
      <x v="170"/>
    </i>
    <i>
      <x v="632"/>
    </i>
    <i>
      <x v="480"/>
    </i>
    <i>
      <x v="620"/>
    </i>
    <i>
      <x v="375"/>
    </i>
    <i>
      <x v="384"/>
    </i>
    <i>
      <x v="28"/>
    </i>
    <i>
      <x v="218"/>
    </i>
    <i>
      <x v="7"/>
    </i>
    <i>
      <x v="49"/>
    </i>
    <i>
      <x v="20"/>
    </i>
    <i>
      <x v="288"/>
    </i>
    <i>
      <x v="211"/>
    </i>
    <i>
      <x v="139"/>
    </i>
    <i>
      <x v="219"/>
    </i>
    <i>
      <x v="417"/>
    </i>
    <i>
      <x v="414"/>
    </i>
    <i>
      <x v="646"/>
    </i>
    <i>
      <x v="324"/>
    </i>
    <i>
      <x v="147"/>
    </i>
    <i>
      <x v="3"/>
    </i>
    <i>
      <x v="231"/>
    </i>
    <i>
      <x v="391"/>
    </i>
    <i>
      <x v="446"/>
    </i>
    <i>
      <x v="653"/>
    </i>
    <i>
      <x v="101"/>
    </i>
    <i>
      <x v="468"/>
    </i>
    <i>
      <x v="367"/>
    </i>
    <i>
      <x v="665"/>
    </i>
    <i>
      <x v="613"/>
    </i>
    <i>
      <x v="547"/>
    </i>
    <i>
      <x v="213"/>
    </i>
    <i>
      <x v="189"/>
    </i>
    <i>
      <x v="181"/>
    </i>
    <i>
      <x v="87"/>
    </i>
    <i>
      <x v="479"/>
    </i>
    <i>
      <x v="512"/>
    </i>
    <i>
      <x v="575"/>
    </i>
    <i>
      <x v="461"/>
    </i>
    <i>
      <x v="492"/>
    </i>
    <i>
      <x v="491"/>
    </i>
    <i>
      <x v="135"/>
    </i>
    <i>
      <x v="243"/>
    </i>
    <i>
      <x v="388"/>
    </i>
    <i>
      <x v="581"/>
    </i>
    <i>
      <x v="240"/>
    </i>
    <i>
      <x v="545"/>
    </i>
    <i>
      <x v="25"/>
    </i>
    <i>
      <x v="710"/>
    </i>
    <i>
      <x v="418"/>
    </i>
    <i>
      <x v="400"/>
    </i>
    <i>
      <x v="162"/>
    </i>
    <i>
      <x v="191"/>
    </i>
    <i>
      <x v="48"/>
    </i>
    <i>
      <x v="12"/>
    </i>
    <i>
      <x v="176"/>
    </i>
    <i>
      <x v="488"/>
    </i>
    <i>
      <x v="561"/>
    </i>
    <i>
      <x v="530"/>
    </i>
    <i>
      <x v="564"/>
    </i>
    <i>
      <x v="656"/>
    </i>
    <i>
      <x v="670"/>
    </i>
    <i>
      <x v="522"/>
    </i>
    <i>
      <x v="534"/>
    </i>
    <i>
      <x v="173"/>
    </i>
    <i>
      <x v="107"/>
    </i>
    <i>
      <x v="175"/>
    </i>
    <i>
      <x v="566"/>
    </i>
    <i>
      <x v="1"/>
    </i>
    <i>
      <x v="680"/>
    </i>
    <i>
      <x v="295"/>
    </i>
    <i>
      <x v="155"/>
    </i>
    <i>
      <x v="296"/>
    </i>
    <i>
      <x v="299"/>
    </i>
    <i>
      <x v="151"/>
    </i>
    <i>
      <x v="145"/>
    </i>
    <i>
      <x v="215"/>
    </i>
    <i>
      <x v="94"/>
    </i>
    <i>
      <x v="569"/>
    </i>
    <i>
      <x v="174"/>
    </i>
    <i>
      <x v="105"/>
    </i>
    <i>
      <x v="610"/>
    </i>
    <i>
      <x v="719"/>
    </i>
    <i>
      <x v="682"/>
    </i>
    <i>
      <x v="234"/>
    </i>
    <i>
      <x v="44"/>
    </i>
    <i>
      <x v="698"/>
    </i>
    <i>
      <x v="362"/>
    </i>
    <i>
      <x v="466"/>
    </i>
    <i>
      <x v="549"/>
    </i>
    <i>
      <x v="78"/>
    </i>
    <i>
      <x v="69"/>
    </i>
    <i>
      <x v="132"/>
    </i>
    <i>
      <x v="587"/>
    </i>
    <i>
      <x v="394"/>
    </i>
    <i>
      <x v="339"/>
    </i>
    <i>
      <x v="602"/>
    </i>
    <i>
      <x v="340"/>
    </i>
    <i>
      <x v="304"/>
    </i>
    <i>
      <x v="519"/>
    </i>
    <i>
      <x v="374"/>
    </i>
    <i>
      <x v="627"/>
    </i>
    <i>
      <x v="481"/>
    </i>
    <i>
      <x v="583"/>
    </i>
    <i>
      <x v="472"/>
    </i>
    <i>
      <x v="660"/>
    </i>
    <i>
      <x v="345"/>
    </i>
    <i>
      <x v="269"/>
    </i>
    <i>
      <x/>
    </i>
    <i>
      <x v="35"/>
    </i>
    <i>
      <x v="109"/>
    </i>
    <i>
      <x v="34"/>
    </i>
    <i>
      <x v="104"/>
    </i>
    <i>
      <x v="89"/>
    </i>
    <i>
      <x v="416"/>
    </i>
    <i>
      <x v="386"/>
    </i>
    <i>
      <x v="422"/>
    </i>
    <i>
      <x v="506"/>
    </i>
    <i>
      <x v="533"/>
    </i>
    <i>
      <x v="348"/>
    </i>
    <i>
      <x v="244"/>
    </i>
    <i>
      <x v="144"/>
    </i>
    <i>
      <x v="373"/>
    </i>
    <i>
      <x v="347"/>
    </i>
    <i>
      <x v="389"/>
    </i>
    <i>
      <x v="47"/>
    </i>
    <i>
      <x v="275"/>
    </i>
    <i>
      <x v="246"/>
    </i>
    <i>
      <x v="262"/>
    </i>
    <i>
      <x v="493"/>
    </i>
    <i>
      <x v="358"/>
    </i>
    <i>
      <x v="76"/>
    </i>
    <i>
      <x v="97"/>
    </i>
    <i>
      <x v="371"/>
    </i>
    <i>
      <x v="651"/>
    </i>
    <i>
      <x v="270"/>
    </i>
    <i>
      <x v="364"/>
    </i>
    <i>
      <x v="585"/>
    </i>
    <i>
      <x v="298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1021" totalsRowShown="0" headerRowDxfId="23" dataDxfId="21" headerRowBorderDxfId="22" tableBorderDxfId="20">
  <autoFilter ref="A1:H1021"/>
  <tableColumns count="8">
    <tableColumn id="1" name="Invoice" dataDxfId="19"/>
    <tableColumn id="2" name="StockCode" dataDxfId="18"/>
    <tableColumn id="3" name="Description" dataDxfId="17"/>
    <tableColumn id="4" name="Quantity" dataDxfId="16"/>
    <tableColumn id="5" name="InvoiceDate" dataDxfId="15"/>
    <tableColumn id="6" name="Price" dataDxfId="14"/>
    <tableColumn id="7" name="Customer ID" dataDxfId="13"/>
    <tableColumn id="8" name="Count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974" totalsRowShown="0" dataDxfId="10" headerRowBorderDxfId="11" tableBorderDxfId="9">
  <autoFilter ref="A1:I974"/>
  <tableColumns count="9">
    <tableColumn id="1" name="Invoice" dataDxfId="8"/>
    <tableColumn id="2" name="StockCode" dataDxfId="7"/>
    <tableColumn id="3" name="Description" dataDxfId="6"/>
    <tableColumn id="4" name="Quantity" dataDxfId="5"/>
    <tableColumn id="5" name="InvoiceDate" dataDxfId="4"/>
    <tableColumn id="6" name="Price" dataDxfId="3"/>
    <tableColumn id="7" name="Customer ID" dataDxfId="2"/>
    <tableColumn id="8" name="Country" dataDxfId="1"/>
    <tableColumn id="9" name="Revenue" dataDxfId="0">
      <calculatedColumnFormula>(D2 *F2)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1"/>
  <sheetViews>
    <sheetView zoomScale="85" zoomScaleNormal="85" workbookViewId="0">
      <pane ySplit="1" topLeftCell="A80" activePane="bottomLeft" state="frozen"/>
      <selection pane="bottomLeft" activeCell="C89" sqref="C89"/>
    </sheetView>
  </sheetViews>
  <sheetFormatPr defaultColWidth="14.42578125" defaultRowHeight="15" customHeight="1" x14ac:dyDescent="0.25"/>
  <cols>
    <col min="1" max="1" width="12" style="10" customWidth="1"/>
    <col min="2" max="2" width="13.140625" style="3" customWidth="1"/>
    <col min="3" max="3" width="41" style="4" customWidth="1"/>
    <col min="4" max="4" width="14.85546875" style="7" customWidth="1"/>
    <col min="5" max="5" width="21" style="5" customWidth="1"/>
    <col min="6" max="6" width="12" style="12" customWidth="1"/>
    <col min="7" max="7" width="14.7109375" style="10" customWidth="1"/>
    <col min="8" max="8" width="17" customWidth="1"/>
    <col min="9" max="9" width="16.7109375" customWidth="1"/>
    <col min="10" max="26" width="8.7109375" customWidth="1"/>
  </cols>
  <sheetData>
    <row r="1" spans="1:8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 x14ac:dyDescent="0.25">
      <c r="A2" s="13">
        <v>503181</v>
      </c>
      <c r="B2" s="13">
        <v>84792</v>
      </c>
      <c r="C2" s="13" t="s">
        <v>8</v>
      </c>
      <c r="D2" s="13">
        <v>4</v>
      </c>
      <c r="E2" s="14">
        <v>40267.599305555559</v>
      </c>
      <c r="F2" s="13">
        <v>4.6500000000000004</v>
      </c>
      <c r="G2"/>
      <c r="H2" s="13" t="s">
        <v>9</v>
      </c>
    </row>
    <row r="3" spans="1:8" x14ac:dyDescent="0.25">
      <c r="A3" s="13">
        <v>528386</v>
      </c>
      <c r="B3" s="13">
        <v>22318</v>
      </c>
      <c r="C3" s="13" t="s">
        <v>10</v>
      </c>
      <c r="D3" s="13">
        <v>6</v>
      </c>
      <c r="E3" s="14">
        <v>40472.772222222222</v>
      </c>
      <c r="F3" s="13">
        <v>2.95</v>
      </c>
      <c r="G3" s="13">
        <v>14911</v>
      </c>
      <c r="H3" s="13" t="s">
        <v>11</v>
      </c>
    </row>
    <row r="4" spans="1:8" x14ac:dyDescent="0.25">
      <c r="A4" s="13">
        <v>498594</v>
      </c>
      <c r="B4" s="13">
        <v>21173</v>
      </c>
      <c r="C4" s="13" t="s">
        <v>12</v>
      </c>
      <c r="D4" s="13">
        <v>1</v>
      </c>
      <c r="E4" s="14">
        <v>40230.658333333333</v>
      </c>
      <c r="F4" s="13">
        <v>1.65</v>
      </c>
      <c r="G4" s="13">
        <v>16797</v>
      </c>
      <c r="H4" s="13" t="s">
        <v>9</v>
      </c>
    </row>
    <row r="5" spans="1:8" x14ac:dyDescent="0.25">
      <c r="A5" s="13">
        <v>503245</v>
      </c>
      <c r="B5" s="13" t="s">
        <v>13</v>
      </c>
      <c r="C5" s="13" t="s">
        <v>14</v>
      </c>
      <c r="D5" s="13">
        <v>2</v>
      </c>
      <c r="E5" s="14">
        <v>40268.411111111112</v>
      </c>
      <c r="F5" s="13">
        <v>7.95</v>
      </c>
      <c r="G5" s="13">
        <v>15216</v>
      </c>
      <c r="H5" s="13" t="s">
        <v>9</v>
      </c>
    </row>
    <row r="6" spans="1:8" x14ac:dyDescent="0.25">
      <c r="A6" s="13">
        <v>505756</v>
      </c>
      <c r="B6" s="13">
        <v>84836</v>
      </c>
      <c r="C6" s="13" t="s">
        <v>15</v>
      </c>
      <c r="D6" s="13">
        <v>12</v>
      </c>
      <c r="E6" s="14">
        <v>40294.408333333333</v>
      </c>
      <c r="F6" s="13">
        <v>1.25</v>
      </c>
      <c r="G6" s="13">
        <v>14677</v>
      </c>
      <c r="H6" s="13" t="s">
        <v>9</v>
      </c>
    </row>
    <row r="7" spans="1:8" x14ac:dyDescent="0.25">
      <c r="A7" s="13">
        <v>496975</v>
      </c>
      <c r="B7" s="13">
        <v>21559</v>
      </c>
      <c r="C7" s="13" t="s">
        <v>16</v>
      </c>
      <c r="D7" s="13">
        <v>6</v>
      </c>
      <c r="E7" s="14">
        <v>40214.384722222218</v>
      </c>
      <c r="F7" s="13">
        <v>2.5499999999999998</v>
      </c>
      <c r="G7" s="13">
        <v>12712</v>
      </c>
      <c r="H7" s="13" t="s">
        <v>17</v>
      </c>
    </row>
    <row r="8" spans="1:8" x14ac:dyDescent="0.25">
      <c r="A8" s="13">
        <v>491584</v>
      </c>
      <c r="B8" s="13">
        <v>85107</v>
      </c>
      <c r="C8" s="13" t="s">
        <v>18</v>
      </c>
      <c r="D8" s="13">
        <v>12</v>
      </c>
      <c r="E8" s="14">
        <v>40158.538194444453</v>
      </c>
      <c r="F8" s="13">
        <v>2.5499999999999998</v>
      </c>
      <c r="G8" s="13">
        <v>12854</v>
      </c>
      <c r="H8" s="13" t="s">
        <v>9</v>
      </c>
    </row>
    <row r="9" spans="1:8" x14ac:dyDescent="0.25">
      <c r="A9" s="13">
        <v>516478</v>
      </c>
      <c r="B9" s="13">
        <v>22575</v>
      </c>
      <c r="C9" s="13" t="s">
        <v>19</v>
      </c>
      <c r="D9" s="13">
        <v>1</v>
      </c>
      <c r="E9" s="14">
        <v>40379.722222222219</v>
      </c>
      <c r="F9" s="13">
        <v>1.95</v>
      </c>
      <c r="G9" s="13">
        <v>17576</v>
      </c>
      <c r="H9" s="13" t="s">
        <v>9</v>
      </c>
    </row>
    <row r="10" spans="1:8" x14ac:dyDescent="0.25">
      <c r="A10" s="13">
        <v>502588</v>
      </c>
      <c r="B10" s="13">
        <v>22083</v>
      </c>
      <c r="C10" s="13" t="s">
        <v>20</v>
      </c>
      <c r="D10" s="13">
        <v>2</v>
      </c>
      <c r="E10" s="14">
        <v>40262.529861111107</v>
      </c>
      <c r="F10" s="13">
        <v>2.95</v>
      </c>
      <c r="G10" s="13">
        <v>16550</v>
      </c>
      <c r="H10" s="13" t="s">
        <v>9</v>
      </c>
    </row>
    <row r="11" spans="1:8" x14ac:dyDescent="0.25">
      <c r="A11" s="13">
        <v>515335</v>
      </c>
      <c r="B11" s="13" t="s">
        <v>21</v>
      </c>
      <c r="C11" s="13" t="s">
        <v>22</v>
      </c>
      <c r="D11" s="13">
        <v>1</v>
      </c>
      <c r="E11" s="14">
        <v>40370.59652777778</v>
      </c>
      <c r="F11" s="13">
        <v>5.95</v>
      </c>
      <c r="G11" s="13">
        <v>14606</v>
      </c>
      <c r="H11" s="13" t="s">
        <v>9</v>
      </c>
    </row>
    <row r="12" spans="1:8" x14ac:dyDescent="0.25">
      <c r="A12" s="13">
        <v>525065</v>
      </c>
      <c r="B12" s="13">
        <v>21156</v>
      </c>
      <c r="C12" s="13" t="s">
        <v>23</v>
      </c>
      <c r="D12" s="13">
        <v>1</v>
      </c>
      <c r="E12" s="14">
        <v>40454.602777777778</v>
      </c>
      <c r="F12" s="13">
        <v>1.95</v>
      </c>
      <c r="G12" s="13">
        <v>16799</v>
      </c>
      <c r="H12" s="13" t="s">
        <v>9</v>
      </c>
    </row>
    <row r="13" spans="1:8" x14ac:dyDescent="0.25">
      <c r="A13" s="13">
        <v>535349</v>
      </c>
      <c r="B13" s="13">
        <v>84946</v>
      </c>
      <c r="C13" s="13" t="s">
        <v>24</v>
      </c>
      <c r="D13" s="13">
        <v>24</v>
      </c>
      <c r="E13" s="14">
        <v>40507.702777777777</v>
      </c>
      <c r="F13" s="13">
        <v>1.25</v>
      </c>
      <c r="G13" s="13">
        <v>18245</v>
      </c>
      <c r="H13" s="13" t="s">
        <v>9</v>
      </c>
    </row>
    <row r="14" spans="1:8" x14ac:dyDescent="0.25">
      <c r="A14" s="13">
        <v>521949</v>
      </c>
      <c r="B14" s="13">
        <v>82484</v>
      </c>
      <c r="C14" s="13" t="s">
        <v>25</v>
      </c>
      <c r="D14" s="13">
        <v>3</v>
      </c>
      <c r="E14" s="14">
        <v>40430.719444444447</v>
      </c>
      <c r="F14" s="13">
        <v>6.45</v>
      </c>
      <c r="G14" s="13">
        <v>15150</v>
      </c>
      <c r="H14" s="13" t="s">
        <v>9</v>
      </c>
    </row>
    <row r="15" spans="1:8" x14ac:dyDescent="0.25">
      <c r="A15" s="13">
        <v>514876</v>
      </c>
      <c r="B15" s="13">
        <v>22519</v>
      </c>
      <c r="C15" s="13" t="s">
        <v>26</v>
      </c>
      <c r="D15" s="13">
        <v>36</v>
      </c>
      <c r="E15" s="14">
        <v>40366.439583333333</v>
      </c>
      <c r="F15" s="13">
        <v>1.85</v>
      </c>
      <c r="G15" s="13">
        <v>17511</v>
      </c>
      <c r="H15" s="13" t="s">
        <v>9</v>
      </c>
    </row>
    <row r="16" spans="1:8" x14ac:dyDescent="0.25">
      <c r="A16" s="13">
        <v>521162</v>
      </c>
      <c r="B16" s="13">
        <v>22561</v>
      </c>
      <c r="C16" s="13" t="s">
        <v>27</v>
      </c>
      <c r="D16" s="13">
        <v>12</v>
      </c>
      <c r="E16" s="14">
        <v>40423.598611111112</v>
      </c>
      <c r="F16" s="13">
        <v>1.65</v>
      </c>
      <c r="G16" s="13">
        <v>12598</v>
      </c>
      <c r="H16" s="13" t="s">
        <v>28</v>
      </c>
    </row>
    <row r="17" spans="1:8" x14ac:dyDescent="0.25">
      <c r="A17" s="13">
        <v>506572</v>
      </c>
      <c r="B17" s="13">
        <v>20798</v>
      </c>
      <c r="C17" s="13" t="s">
        <v>29</v>
      </c>
      <c r="D17" s="13">
        <v>4</v>
      </c>
      <c r="E17" s="14">
        <v>40298.548611111109</v>
      </c>
      <c r="F17" s="13">
        <v>2.1</v>
      </c>
      <c r="G17" s="13">
        <v>16374</v>
      </c>
      <c r="H17" s="13" t="s">
        <v>9</v>
      </c>
    </row>
    <row r="18" spans="1:8" x14ac:dyDescent="0.25">
      <c r="A18" s="13">
        <v>505974</v>
      </c>
      <c r="B18" s="13">
        <v>48188</v>
      </c>
      <c r="C18" s="13" t="s">
        <v>30</v>
      </c>
      <c r="D18" s="13">
        <v>1</v>
      </c>
      <c r="E18" s="14">
        <v>40294.754166666673</v>
      </c>
      <c r="F18" s="13">
        <v>7.49</v>
      </c>
      <c r="G18" s="13">
        <v>17449</v>
      </c>
      <c r="H18" s="13" t="s">
        <v>9</v>
      </c>
    </row>
    <row r="19" spans="1:8" x14ac:dyDescent="0.25">
      <c r="A19" s="13">
        <v>491622</v>
      </c>
      <c r="B19" s="13">
        <v>10125</v>
      </c>
      <c r="C19" s="13" t="s">
        <v>31</v>
      </c>
      <c r="D19" s="13">
        <v>1</v>
      </c>
      <c r="E19" s="14">
        <v>40158.597222222219</v>
      </c>
      <c r="F19" s="13">
        <v>0.85</v>
      </c>
      <c r="G19" s="13">
        <v>13415</v>
      </c>
      <c r="H19" s="13" t="s">
        <v>32</v>
      </c>
    </row>
    <row r="20" spans="1:8" x14ac:dyDescent="0.25">
      <c r="A20" s="13">
        <v>509982</v>
      </c>
      <c r="B20" s="13">
        <v>21696</v>
      </c>
      <c r="C20" s="13" t="s">
        <v>33</v>
      </c>
      <c r="D20" s="13">
        <v>6</v>
      </c>
      <c r="E20" s="14">
        <v>40324.602777777778</v>
      </c>
      <c r="F20" s="13">
        <v>2.95</v>
      </c>
      <c r="G20" s="13">
        <v>12924</v>
      </c>
      <c r="H20" s="13" t="s">
        <v>9</v>
      </c>
    </row>
    <row r="21" spans="1:8" ht="15.75" customHeight="1" x14ac:dyDescent="0.25">
      <c r="A21" s="13">
        <v>524611</v>
      </c>
      <c r="B21" s="13" t="s">
        <v>34</v>
      </c>
      <c r="C21" s="13" t="s">
        <v>35</v>
      </c>
      <c r="D21" s="13">
        <v>6</v>
      </c>
      <c r="E21" s="14">
        <v>40451.400694444441</v>
      </c>
      <c r="F21" s="13">
        <v>1.65</v>
      </c>
      <c r="G21" s="13">
        <v>13078</v>
      </c>
      <c r="H21" s="13" t="s">
        <v>9</v>
      </c>
    </row>
    <row r="22" spans="1:8" ht="15.75" customHeight="1" x14ac:dyDescent="0.25">
      <c r="A22" s="13">
        <v>501906</v>
      </c>
      <c r="B22" s="13">
        <v>22413</v>
      </c>
      <c r="C22" s="13" t="s">
        <v>36</v>
      </c>
      <c r="D22" s="13">
        <v>12</v>
      </c>
      <c r="E22" s="14">
        <v>40258.668055555558</v>
      </c>
      <c r="F22" s="13">
        <v>2.95</v>
      </c>
      <c r="G22" s="13">
        <v>17340</v>
      </c>
      <c r="H22" s="13" t="s">
        <v>9</v>
      </c>
    </row>
    <row r="23" spans="1:8" ht="15.75" customHeight="1" x14ac:dyDescent="0.25">
      <c r="A23" s="13">
        <v>505708</v>
      </c>
      <c r="B23" s="13">
        <v>20979</v>
      </c>
      <c r="C23" s="13" t="s">
        <v>37</v>
      </c>
      <c r="D23" s="13">
        <v>1</v>
      </c>
      <c r="E23" s="14">
        <v>40293.510416666657</v>
      </c>
      <c r="F23" s="13">
        <v>1.25</v>
      </c>
      <c r="G23" s="13">
        <v>13782</v>
      </c>
      <c r="H23" s="13" t="s">
        <v>9</v>
      </c>
    </row>
    <row r="24" spans="1:8" ht="15.75" customHeight="1" x14ac:dyDescent="0.25">
      <c r="A24" s="13">
        <v>497935</v>
      </c>
      <c r="B24" s="13" t="s">
        <v>38</v>
      </c>
      <c r="C24" s="13" t="s">
        <v>39</v>
      </c>
      <c r="D24" s="13">
        <v>24</v>
      </c>
      <c r="E24" s="14">
        <v>40224.449305555558</v>
      </c>
      <c r="F24" s="13">
        <v>5.45</v>
      </c>
      <c r="G24" s="13">
        <v>13408</v>
      </c>
      <c r="H24" s="13" t="s">
        <v>9</v>
      </c>
    </row>
    <row r="25" spans="1:8" ht="15.75" customHeight="1" x14ac:dyDescent="0.25">
      <c r="A25" s="13">
        <v>502792</v>
      </c>
      <c r="B25" s="13" t="s">
        <v>40</v>
      </c>
      <c r="C25" s="13" t="s">
        <v>41</v>
      </c>
      <c r="D25" s="13">
        <v>6</v>
      </c>
      <c r="E25" s="14">
        <v>40263.630555555559</v>
      </c>
      <c r="F25" s="13">
        <v>2.95</v>
      </c>
      <c r="G25" s="13">
        <v>14253</v>
      </c>
      <c r="H25" s="13" t="s">
        <v>9</v>
      </c>
    </row>
    <row r="26" spans="1:8" ht="15.75" customHeight="1" x14ac:dyDescent="0.25">
      <c r="A26" s="13">
        <v>521403</v>
      </c>
      <c r="B26" s="13">
        <v>21179</v>
      </c>
      <c r="C26"/>
      <c r="D26" s="13">
        <v>12</v>
      </c>
      <c r="E26" s="14">
        <v>40427.429861111108</v>
      </c>
      <c r="F26" s="13" t="s">
        <v>42</v>
      </c>
      <c r="G26" s="13">
        <v>12744</v>
      </c>
      <c r="H26" s="13" t="s">
        <v>43</v>
      </c>
    </row>
    <row r="27" spans="1:8" ht="15.75" customHeight="1" x14ac:dyDescent="0.25">
      <c r="A27" s="13" t="s">
        <v>44</v>
      </c>
      <c r="B27" s="13" t="s">
        <v>45</v>
      </c>
      <c r="C27" s="13" t="s">
        <v>46</v>
      </c>
      <c r="D27" s="13">
        <v>1</v>
      </c>
      <c r="E27" s="14">
        <v>40438.53125</v>
      </c>
      <c r="F27" s="13">
        <v>2.12</v>
      </c>
      <c r="G27" s="13">
        <v>17765</v>
      </c>
      <c r="H27" s="13" t="s">
        <v>9</v>
      </c>
    </row>
    <row r="28" spans="1:8" ht="15.75" customHeight="1" x14ac:dyDescent="0.25">
      <c r="A28" s="13">
        <v>537810</v>
      </c>
      <c r="B28" s="13">
        <v>22415</v>
      </c>
      <c r="C28" s="13" t="s">
        <v>47</v>
      </c>
      <c r="D28" s="13">
        <v>3</v>
      </c>
      <c r="E28" s="13" t="s">
        <v>48</v>
      </c>
      <c r="F28" s="13">
        <v>7.95</v>
      </c>
      <c r="G28" s="13">
        <v>15032</v>
      </c>
      <c r="H28" s="13" t="s">
        <v>9</v>
      </c>
    </row>
    <row r="29" spans="1:8" ht="15.75" customHeight="1" x14ac:dyDescent="0.25">
      <c r="A29" s="13">
        <v>520505</v>
      </c>
      <c r="B29" s="13">
        <v>21258</v>
      </c>
      <c r="C29" s="13" t="s">
        <v>49</v>
      </c>
      <c r="D29" s="13">
        <v>1</v>
      </c>
      <c r="E29" s="14">
        <v>40416.535416666673</v>
      </c>
      <c r="F29" s="13">
        <v>12.75</v>
      </c>
      <c r="G29" s="13">
        <v>17663</v>
      </c>
      <c r="H29" s="13" t="s">
        <v>9</v>
      </c>
    </row>
    <row r="30" spans="1:8" ht="15.75" customHeight="1" x14ac:dyDescent="0.25">
      <c r="A30" s="13" t="s">
        <v>50</v>
      </c>
      <c r="B30" s="13">
        <v>21122</v>
      </c>
      <c r="C30" s="13" t="s">
        <v>51</v>
      </c>
      <c r="D30" s="13">
        <v>24</v>
      </c>
      <c r="E30" s="14">
        <v>40497.718055555553</v>
      </c>
      <c r="F30" s="13">
        <v>1.25</v>
      </c>
      <c r="G30" s="13">
        <v>17284</v>
      </c>
      <c r="H30" s="13" t="s">
        <v>9</v>
      </c>
    </row>
    <row r="31" spans="1:8" ht="15.75" customHeight="1" x14ac:dyDescent="0.25">
      <c r="A31" s="13">
        <v>523971</v>
      </c>
      <c r="B31" s="13">
        <v>21009</v>
      </c>
      <c r="C31" s="13" t="s">
        <v>52</v>
      </c>
      <c r="D31" s="13">
        <v>6</v>
      </c>
      <c r="E31" s="14">
        <v>40447.578472222223</v>
      </c>
      <c r="F31" s="13">
        <v>1.25</v>
      </c>
      <c r="G31" s="13">
        <v>15967</v>
      </c>
      <c r="H31" s="13" t="s">
        <v>9</v>
      </c>
    </row>
    <row r="32" spans="1:8" ht="15.75" customHeight="1" x14ac:dyDescent="0.25">
      <c r="A32" s="13">
        <v>499625</v>
      </c>
      <c r="B32" s="13" t="s">
        <v>53</v>
      </c>
      <c r="C32" s="13" t="s">
        <v>54</v>
      </c>
      <c r="D32" s="13">
        <v>2</v>
      </c>
      <c r="E32" s="14">
        <v>40238.551388888889</v>
      </c>
      <c r="F32" s="13">
        <v>5.95</v>
      </c>
      <c r="G32" s="13">
        <v>17965</v>
      </c>
      <c r="H32" s="13" t="s">
        <v>9</v>
      </c>
    </row>
    <row r="33" spans="1:8" ht="15.75" customHeight="1" x14ac:dyDescent="0.25">
      <c r="A33" s="13">
        <v>500147</v>
      </c>
      <c r="B33" s="13">
        <v>47566</v>
      </c>
      <c r="C33" s="13" t="s">
        <v>55</v>
      </c>
      <c r="D33" s="13">
        <v>8</v>
      </c>
      <c r="E33" s="14">
        <v>40241.723611111112</v>
      </c>
      <c r="F33" s="13">
        <v>4.6500000000000004</v>
      </c>
      <c r="G33" s="13">
        <v>15812</v>
      </c>
      <c r="H33" s="13" t="s">
        <v>9</v>
      </c>
    </row>
    <row r="34" spans="1:8" ht="15.75" customHeight="1" x14ac:dyDescent="0.25">
      <c r="A34" s="13">
        <v>537421</v>
      </c>
      <c r="B34" s="13">
        <v>22569</v>
      </c>
      <c r="C34" s="13" t="s">
        <v>56</v>
      </c>
      <c r="D34" s="13">
        <v>2</v>
      </c>
      <c r="E34" s="14">
        <v>40518.642361111109</v>
      </c>
      <c r="F34" s="13">
        <v>3.75</v>
      </c>
      <c r="G34" s="13">
        <v>17218</v>
      </c>
      <c r="H34" s="13" t="s">
        <v>57</v>
      </c>
    </row>
    <row r="35" spans="1:8" ht="15.75" customHeight="1" x14ac:dyDescent="0.25">
      <c r="A35" s="13">
        <v>534526</v>
      </c>
      <c r="B35" s="13">
        <v>21930</v>
      </c>
      <c r="C35" s="13" t="s">
        <v>58</v>
      </c>
      <c r="D35" s="13" t="s">
        <v>59</v>
      </c>
      <c r="E35" s="14">
        <v>40505.50277777778</v>
      </c>
      <c r="F35" s="13">
        <v>1.95</v>
      </c>
      <c r="G35" s="13">
        <v>15384</v>
      </c>
      <c r="H35" s="13" t="s">
        <v>9</v>
      </c>
    </row>
    <row r="36" spans="1:8" ht="15.75" customHeight="1" x14ac:dyDescent="0.25">
      <c r="A36" s="13">
        <v>503164</v>
      </c>
      <c r="B36" s="13">
        <v>22556</v>
      </c>
      <c r="C36" s="13" t="s">
        <v>60</v>
      </c>
      <c r="D36" s="13">
        <v>1</v>
      </c>
      <c r="E36" s="14">
        <v>40267.552083333343</v>
      </c>
      <c r="F36" s="13">
        <v>1.65</v>
      </c>
      <c r="G36" s="13">
        <v>17464</v>
      </c>
      <c r="H36" s="13" t="s">
        <v>9</v>
      </c>
    </row>
    <row r="37" spans="1:8" ht="15.75" customHeight="1" x14ac:dyDescent="0.25">
      <c r="A37" s="13">
        <v>528618</v>
      </c>
      <c r="B37" s="13">
        <v>21499</v>
      </c>
      <c r="C37" s="13" t="s">
        <v>61</v>
      </c>
      <c r="D37" s="13">
        <v>25</v>
      </c>
      <c r="E37" s="14">
        <v>40473.713194444441</v>
      </c>
      <c r="F37" s="13">
        <v>0.42</v>
      </c>
      <c r="G37" s="13">
        <v>13263</v>
      </c>
      <c r="H37" s="13" t="s">
        <v>9</v>
      </c>
    </row>
    <row r="38" spans="1:8" ht="15.75" customHeight="1" x14ac:dyDescent="0.25">
      <c r="A38" s="13">
        <v>505015</v>
      </c>
      <c r="B38" s="13">
        <v>22196</v>
      </c>
      <c r="C38" s="13" t="s">
        <v>62</v>
      </c>
      <c r="D38" s="13">
        <v>12</v>
      </c>
      <c r="E38" s="14">
        <v>40287.5625</v>
      </c>
      <c r="F38" s="13">
        <v>0.85</v>
      </c>
      <c r="G38" s="13">
        <v>14156</v>
      </c>
      <c r="H38" s="13" t="s">
        <v>11</v>
      </c>
    </row>
    <row r="39" spans="1:8" ht="15.75" customHeight="1" x14ac:dyDescent="0.25">
      <c r="A39" s="13">
        <v>497272</v>
      </c>
      <c r="B39" s="13" t="s">
        <v>63</v>
      </c>
      <c r="C39" s="13" t="s">
        <v>64</v>
      </c>
      <c r="D39" s="13">
        <v>10</v>
      </c>
      <c r="E39" s="14">
        <v>40217.576388888891</v>
      </c>
      <c r="F39" s="13">
        <v>1.25</v>
      </c>
      <c r="G39" s="13">
        <v>17160</v>
      </c>
      <c r="H39" s="13" t="s">
        <v>9</v>
      </c>
    </row>
    <row r="40" spans="1:8" ht="15.75" customHeight="1" x14ac:dyDescent="0.25">
      <c r="A40" s="13">
        <v>518480</v>
      </c>
      <c r="B40" s="13">
        <v>21890</v>
      </c>
      <c r="C40" s="13" t="s">
        <v>65</v>
      </c>
      <c r="D40" s="13">
        <v>2</v>
      </c>
      <c r="E40" s="14">
        <v>40399.51458333333</v>
      </c>
      <c r="F40" s="13">
        <v>2.95</v>
      </c>
      <c r="G40" s="13">
        <v>16470</v>
      </c>
      <c r="H40" s="13" t="s">
        <v>9</v>
      </c>
    </row>
    <row r="41" spans="1:8" ht="15.75" customHeight="1" x14ac:dyDescent="0.25">
      <c r="A41" s="13">
        <v>508593</v>
      </c>
      <c r="B41" s="13">
        <v>21900</v>
      </c>
      <c r="C41" s="13" t="s">
        <v>66</v>
      </c>
      <c r="D41" s="13">
        <v>24</v>
      </c>
      <c r="E41" s="14">
        <v>40315.504166666673</v>
      </c>
      <c r="F41" s="13">
        <v>0.65</v>
      </c>
      <c r="G41" s="13">
        <v>13488</v>
      </c>
      <c r="H41" s="13" t="s">
        <v>9</v>
      </c>
    </row>
    <row r="42" spans="1:8" ht="15.75" customHeight="1" x14ac:dyDescent="0.25">
      <c r="A42" s="13">
        <v>505615</v>
      </c>
      <c r="B42" s="13">
        <v>20712</v>
      </c>
      <c r="C42" s="13" t="s">
        <v>67</v>
      </c>
      <c r="D42" s="13">
        <v>10</v>
      </c>
      <c r="E42" s="14">
        <v>40291.53402777778</v>
      </c>
      <c r="F42" s="13" t="s">
        <v>68</v>
      </c>
      <c r="G42" s="13">
        <v>15288</v>
      </c>
      <c r="H42" s="13" t="s">
        <v>9</v>
      </c>
    </row>
    <row r="43" spans="1:8" ht="15.75" customHeight="1" x14ac:dyDescent="0.25">
      <c r="A43" s="13">
        <v>523314</v>
      </c>
      <c r="B43" s="13">
        <v>22551</v>
      </c>
      <c r="C43" s="13" t="s">
        <v>69</v>
      </c>
      <c r="D43" s="13">
        <v>1</v>
      </c>
      <c r="E43" s="14">
        <v>40442.558333333327</v>
      </c>
      <c r="F43" s="13">
        <v>1.65</v>
      </c>
      <c r="G43"/>
      <c r="H43" s="13" t="s">
        <v>9</v>
      </c>
    </row>
    <row r="44" spans="1:8" ht="15.75" customHeight="1" x14ac:dyDescent="0.25">
      <c r="A44" s="13">
        <v>530538</v>
      </c>
      <c r="B44" s="13">
        <v>21563</v>
      </c>
      <c r="C44" s="13" t="s">
        <v>70</v>
      </c>
      <c r="D44" s="13">
        <v>2</v>
      </c>
      <c r="E44" s="14">
        <v>40485.538194444453</v>
      </c>
      <c r="F44" s="13">
        <v>2.95</v>
      </c>
      <c r="G44" s="13">
        <v>14606</v>
      </c>
      <c r="H44" s="13" t="s">
        <v>9</v>
      </c>
    </row>
    <row r="45" spans="1:8" ht="15.75" customHeight="1" x14ac:dyDescent="0.25">
      <c r="A45" s="13">
        <v>493706</v>
      </c>
      <c r="B45" s="13">
        <v>84832</v>
      </c>
      <c r="C45" s="13" t="s">
        <v>71</v>
      </c>
      <c r="D45" s="13">
        <v>14</v>
      </c>
      <c r="E45" s="14">
        <v>40183.605555555558</v>
      </c>
      <c r="F45" s="13">
        <v>0.85</v>
      </c>
      <c r="G45" s="13">
        <v>15768</v>
      </c>
      <c r="H45" s="13" t="s">
        <v>9</v>
      </c>
    </row>
    <row r="46" spans="1:8" ht="15.75" customHeight="1" x14ac:dyDescent="0.25">
      <c r="A46" s="13">
        <v>490823</v>
      </c>
      <c r="B46" s="13">
        <v>21847</v>
      </c>
      <c r="C46" s="13" t="s">
        <v>72</v>
      </c>
      <c r="D46" s="13">
        <v>24</v>
      </c>
      <c r="E46" s="14">
        <v>40155.523611111108</v>
      </c>
      <c r="F46" s="13">
        <v>1.25</v>
      </c>
      <c r="G46" s="13">
        <v>14841</v>
      </c>
      <c r="H46" s="13" t="s">
        <v>9</v>
      </c>
    </row>
    <row r="47" spans="1:8" ht="15.75" customHeight="1" x14ac:dyDescent="0.25">
      <c r="A47" s="13">
        <v>506091</v>
      </c>
      <c r="B47" s="13">
        <v>21651</v>
      </c>
      <c r="C47" s="13" t="s">
        <v>73</v>
      </c>
      <c r="D47" s="13">
        <v>6</v>
      </c>
      <c r="E47" s="14">
        <v>40295.508333333331</v>
      </c>
      <c r="F47" s="13">
        <v>1.65</v>
      </c>
      <c r="G47" s="13">
        <v>15402</v>
      </c>
      <c r="H47" s="13" t="s">
        <v>9</v>
      </c>
    </row>
    <row r="48" spans="1:8" ht="15.75" customHeight="1" x14ac:dyDescent="0.25">
      <c r="A48" s="13">
        <v>494866</v>
      </c>
      <c r="B48" s="13">
        <v>22052</v>
      </c>
      <c r="C48" s="13" t="s">
        <v>74</v>
      </c>
      <c r="D48" s="13">
        <v>25</v>
      </c>
      <c r="E48" s="14">
        <v>40197.472222222219</v>
      </c>
      <c r="F48" s="13">
        <v>0.42</v>
      </c>
      <c r="G48" s="13">
        <v>16253</v>
      </c>
      <c r="H48" s="13" t="s">
        <v>9</v>
      </c>
    </row>
    <row r="49" spans="1:8" ht="15.75" customHeight="1" x14ac:dyDescent="0.25">
      <c r="A49" s="13">
        <v>498923</v>
      </c>
      <c r="B49" s="13">
        <v>84978</v>
      </c>
      <c r="C49" s="13" t="s">
        <v>75</v>
      </c>
      <c r="D49" s="13">
        <v>12</v>
      </c>
      <c r="E49" s="14">
        <v>40233.409722222219</v>
      </c>
      <c r="F49" s="13">
        <v>1.25</v>
      </c>
      <c r="G49" s="13">
        <v>17028</v>
      </c>
      <c r="H49" s="13" t="s">
        <v>9</v>
      </c>
    </row>
    <row r="50" spans="1:8" ht="15.75" customHeight="1" x14ac:dyDescent="0.25">
      <c r="A50" s="13">
        <v>516157</v>
      </c>
      <c r="B50" s="13">
        <v>21069</v>
      </c>
      <c r="C50"/>
      <c r="D50" s="13">
        <v>1</v>
      </c>
      <c r="E50" s="14">
        <v>40377.492361111108</v>
      </c>
      <c r="F50" s="13">
        <v>1.25</v>
      </c>
      <c r="G50" s="13">
        <v>17261</v>
      </c>
      <c r="H50" s="13" t="s">
        <v>9</v>
      </c>
    </row>
    <row r="51" spans="1:8" ht="15.75" customHeight="1" x14ac:dyDescent="0.25">
      <c r="A51" s="13">
        <v>509100</v>
      </c>
      <c r="B51" s="13">
        <v>22511</v>
      </c>
      <c r="C51" s="13" t="s">
        <v>76</v>
      </c>
      <c r="D51" s="13">
        <v>1</v>
      </c>
      <c r="E51" s="14">
        <v>40318.492361111108</v>
      </c>
      <c r="F51" s="13">
        <v>3.75</v>
      </c>
      <c r="G51" s="13">
        <v>17841</v>
      </c>
      <c r="H51" s="13" t="s">
        <v>9</v>
      </c>
    </row>
    <row r="52" spans="1:8" ht="15.75" customHeight="1" x14ac:dyDescent="0.25">
      <c r="A52" s="13" t="s">
        <v>77</v>
      </c>
      <c r="B52" s="13">
        <v>20914</v>
      </c>
      <c r="C52" s="13" t="s">
        <v>78</v>
      </c>
      <c r="D52" s="13">
        <v>-1</v>
      </c>
      <c r="E52" s="14">
        <v>40338.443749999999</v>
      </c>
      <c r="F52" s="13">
        <v>2.95</v>
      </c>
      <c r="G52" s="13">
        <v>18231</v>
      </c>
      <c r="H52" s="13" t="s">
        <v>9</v>
      </c>
    </row>
    <row r="53" spans="1:8" ht="15.75" customHeight="1" x14ac:dyDescent="0.25">
      <c r="A53" s="13">
        <v>524746</v>
      </c>
      <c r="B53" s="13">
        <v>22752</v>
      </c>
      <c r="C53" s="13" t="s">
        <v>79</v>
      </c>
      <c r="D53" s="13">
        <v>4</v>
      </c>
      <c r="E53" s="14">
        <v>40451.611805555563</v>
      </c>
      <c r="F53" s="13">
        <v>8.5</v>
      </c>
      <c r="G53" s="13">
        <v>16859</v>
      </c>
      <c r="H53" s="13" t="s">
        <v>9</v>
      </c>
    </row>
    <row r="54" spans="1:8" ht="15.75" customHeight="1" x14ac:dyDescent="0.25">
      <c r="A54" s="13">
        <v>496821</v>
      </c>
      <c r="B54" s="13">
        <v>22236</v>
      </c>
      <c r="C54" s="13" t="s">
        <v>80</v>
      </c>
      <c r="D54" s="13">
        <v>2</v>
      </c>
      <c r="E54" s="14">
        <v>40213.442361111112</v>
      </c>
      <c r="F54" s="13">
        <v>12.75</v>
      </c>
      <c r="G54" s="13">
        <v>13875</v>
      </c>
      <c r="H54" s="13" t="s">
        <v>9</v>
      </c>
    </row>
    <row r="55" spans="1:8" ht="15.75" customHeight="1" x14ac:dyDescent="0.25">
      <c r="A55" s="13">
        <v>513964</v>
      </c>
      <c r="B55" s="13">
        <v>22380</v>
      </c>
      <c r="C55" s="13" t="s">
        <v>81</v>
      </c>
      <c r="D55" s="13">
        <v>20</v>
      </c>
      <c r="E55" s="14">
        <v>40358.636805555558</v>
      </c>
      <c r="F55" s="13">
        <v>2.1</v>
      </c>
      <c r="G55" s="13">
        <v>12380</v>
      </c>
      <c r="H55" s="13" t="s">
        <v>82</v>
      </c>
    </row>
    <row r="56" spans="1:8" ht="15.75" customHeight="1" x14ac:dyDescent="0.25">
      <c r="A56" s="13">
        <v>501291</v>
      </c>
      <c r="B56" s="13">
        <v>84578</v>
      </c>
      <c r="C56" s="13" t="s">
        <v>83</v>
      </c>
      <c r="D56" s="13">
        <v>1</v>
      </c>
      <c r="E56" s="14">
        <v>40252.647916666669</v>
      </c>
      <c r="F56" s="13">
        <v>3.75</v>
      </c>
      <c r="G56" s="13">
        <v>14343</v>
      </c>
      <c r="H56" s="13" t="s">
        <v>9</v>
      </c>
    </row>
    <row r="57" spans="1:8" ht="15.75" customHeight="1" x14ac:dyDescent="0.25">
      <c r="A57" s="13">
        <v>525944</v>
      </c>
      <c r="B57" s="13">
        <v>71477</v>
      </c>
      <c r="C57" s="13" t="s">
        <v>84</v>
      </c>
      <c r="D57" s="13">
        <v>5</v>
      </c>
      <c r="E57" s="14">
        <v>40458.737500000003</v>
      </c>
      <c r="F57" s="13">
        <v>3.25</v>
      </c>
      <c r="G57" s="13" t="s">
        <v>85</v>
      </c>
      <c r="H57" s="13" t="s">
        <v>9</v>
      </c>
    </row>
    <row r="58" spans="1:8" ht="15.75" customHeight="1" x14ac:dyDescent="0.25">
      <c r="A58" s="13">
        <v>498577</v>
      </c>
      <c r="B58" s="13">
        <v>21892</v>
      </c>
      <c r="C58" s="13" t="s">
        <v>86</v>
      </c>
      <c r="D58" s="13">
        <v>12</v>
      </c>
      <c r="E58" s="14">
        <v>40230.574999999997</v>
      </c>
      <c r="F58" s="13">
        <v>1.25</v>
      </c>
      <c r="G58" s="13">
        <v>16948</v>
      </c>
      <c r="H58" s="13" t="s">
        <v>87</v>
      </c>
    </row>
    <row r="59" spans="1:8" ht="15.75" customHeight="1" x14ac:dyDescent="0.25">
      <c r="A59" s="13">
        <v>497958</v>
      </c>
      <c r="B59" s="13">
        <v>21156</v>
      </c>
      <c r="C59" s="13" t="s">
        <v>88</v>
      </c>
      <c r="D59" s="13">
        <v>2</v>
      </c>
      <c r="E59" s="14">
        <v>40224.555555555547</v>
      </c>
      <c r="F59" s="13">
        <v>1.95</v>
      </c>
      <c r="G59" s="13">
        <v>14680</v>
      </c>
      <c r="H59" s="13" t="s">
        <v>9</v>
      </c>
    </row>
    <row r="60" spans="1:8" ht="15.75" customHeight="1" x14ac:dyDescent="0.25">
      <c r="A60" s="13">
        <v>504152</v>
      </c>
      <c r="B60" s="13">
        <v>21622</v>
      </c>
      <c r="C60" s="13" t="s">
        <v>89</v>
      </c>
      <c r="D60" s="13">
        <v>8</v>
      </c>
      <c r="E60" s="14">
        <v>40279.575694444437</v>
      </c>
      <c r="F60" s="13" t="s">
        <v>90</v>
      </c>
      <c r="G60" s="13">
        <v>17838</v>
      </c>
      <c r="H60" s="13" t="s">
        <v>9</v>
      </c>
    </row>
    <row r="61" spans="1:8" ht="15.75" customHeight="1" x14ac:dyDescent="0.25">
      <c r="A61" s="13">
        <v>501657</v>
      </c>
      <c r="B61" s="13">
        <v>22328</v>
      </c>
      <c r="C61" s="13" t="s">
        <v>91</v>
      </c>
      <c r="D61" s="13">
        <v>1</v>
      </c>
      <c r="E61" s="14">
        <v>40255.548611111109</v>
      </c>
      <c r="F61" s="13">
        <v>2.95</v>
      </c>
      <c r="G61" s="13">
        <v>13243</v>
      </c>
      <c r="H61" s="13" t="s">
        <v>9</v>
      </c>
    </row>
    <row r="62" spans="1:8" ht="15.75" customHeight="1" x14ac:dyDescent="0.25">
      <c r="A62" s="13">
        <v>491816</v>
      </c>
      <c r="B62" s="13">
        <v>20862</v>
      </c>
      <c r="C62" s="13" t="s">
        <v>92</v>
      </c>
      <c r="D62" s="13">
        <v>6</v>
      </c>
      <c r="E62" s="14">
        <v>40161.566666666673</v>
      </c>
      <c r="F62" s="13">
        <v>2.1</v>
      </c>
      <c r="G62" s="13">
        <v>14961</v>
      </c>
      <c r="H62" s="13" t="s">
        <v>9</v>
      </c>
    </row>
    <row r="63" spans="1:8" ht="15.75" customHeight="1" x14ac:dyDescent="0.25">
      <c r="A63" s="13">
        <v>493960</v>
      </c>
      <c r="B63" s="13">
        <v>22024</v>
      </c>
      <c r="C63" s="13" t="s">
        <v>93</v>
      </c>
      <c r="D63" s="13">
        <v>24</v>
      </c>
      <c r="E63" s="14">
        <v>40186.625694444447</v>
      </c>
      <c r="F63" s="13" t="s">
        <v>94</v>
      </c>
      <c r="G63" s="13">
        <v>16556</v>
      </c>
      <c r="H63" s="13" t="s">
        <v>9</v>
      </c>
    </row>
    <row r="64" spans="1:8" ht="15.75" customHeight="1" x14ac:dyDescent="0.25">
      <c r="A64" s="13">
        <v>531746</v>
      </c>
      <c r="B64" s="13">
        <v>22745</v>
      </c>
      <c r="C64" s="13" t="s">
        <v>95</v>
      </c>
      <c r="D64" s="13">
        <v>1</v>
      </c>
      <c r="E64" s="14">
        <v>40491.541666666657</v>
      </c>
      <c r="F64" s="13">
        <v>2.1</v>
      </c>
      <c r="G64" s="13">
        <v>14527</v>
      </c>
      <c r="H64" s="13" t="s">
        <v>9</v>
      </c>
    </row>
    <row r="65" spans="1:8" ht="15.75" customHeight="1" x14ac:dyDescent="0.25">
      <c r="A65" s="13">
        <v>512093</v>
      </c>
      <c r="B65" s="13">
        <v>21731</v>
      </c>
      <c r="C65" s="13" t="s">
        <v>96</v>
      </c>
      <c r="D65" s="13">
        <v>24</v>
      </c>
      <c r="E65" s="14">
        <v>40342.54583333333</v>
      </c>
      <c r="F65" s="13">
        <v>1.65</v>
      </c>
      <c r="G65" s="13">
        <v>16954</v>
      </c>
      <c r="H65" s="13" t="s">
        <v>9</v>
      </c>
    </row>
    <row r="66" spans="1:8" ht="15.75" customHeight="1" x14ac:dyDescent="0.25">
      <c r="A66" s="13">
        <v>495576</v>
      </c>
      <c r="B66" s="13">
        <v>22355</v>
      </c>
      <c r="C66" s="13" t="s">
        <v>97</v>
      </c>
      <c r="D66" s="13">
        <v>10</v>
      </c>
      <c r="E66" s="14">
        <v>40204.40347222222</v>
      </c>
      <c r="F66" s="13">
        <v>0.85</v>
      </c>
      <c r="G66" s="13">
        <v>15259</v>
      </c>
      <c r="H66" s="13" t="s">
        <v>9</v>
      </c>
    </row>
    <row r="67" spans="1:8" ht="15.75" customHeight="1" x14ac:dyDescent="0.25">
      <c r="A67" s="13">
        <v>506383</v>
      </c>
      <c r="B67" s="13">
        <v>21431</v>
      </c>
      <c r="C67" s="13" t="s">
        <v>98</v>
      </c>
      <c r="D67" s="13">
        <v>8</v>
      </c>
      <c r="E67" s="14">
        <v>40297.520833333343</v>
      </c>
      <c r="F67" s="13">
        <v>1.65</v>
      </c>
      <c r="G67" s="13">
        <v>13824</v>
      </c>
      <c r="H67" s="13" t="s">
        <v>9</v>
      </c>
    </row>
    <row r="68" spans="1:8" ht="15.75" customHeight="1" x14ac:dyDescent="0.25">
      <c r="A68" s="13">
        <v>523097</v>
      </c>
      <c r="B68" s="13">
        <v>48138</v>
      </c>
      <c r="C68" s="13" t="s">
        <v>99</v>
      </c>
      <c r="D68" s="13">
        <v>3</v>
      </c>
      <c r="E68" s="14">
        <v>40441.51458333333</v>
      </c>
      <c r="F68" s="13">
        <v>7.95</v>
      </c>
      <c r="G68" s="13">
        <v>17055</v>
      </c>
      <c r="H68" s="13" t="s">
        <v>9</v>
      </c>
    </row>
    <row r="69" spans="1:8" ht="15.75" customHeight="1" x14ac:dyDescent="0.25">
      <c r="A69" s="13">
        <v>534221</v>
      </c>
      <c r="B69" s="13">
        <v>22745</v>
      </c>
      <c r="C69" s="13" t="s">
        <v>95</v>
      </c>
      <c r="D69" s="13">
        <v>1</v>
      </c>
      <c r="E69" s="14">
        <v>40503.677083333343</v>
      </c>
      <c r="F69" s="13">
        <v>2.1</v>
      </c>
      <c r="G69" s="13" t="s">
        <v>100</v>
      </c>
      <c r="H69" s="13" t="s">
        <v>9</v>
      </c>
    </row>
    <row r="70" spans="1:8" ht="15.75" customHeight="1" x14ac:dyDescent="0.25">
      <c r="A70" s="13">
        <v>529763</v>
      </c>
      <c r="B70" s="13">
        <v>22118</v>
      </c>
      <c r="C70" s="13" t="s">
        <v>101</v>
      </c>
      <c r="D70" s="13">
        <v>1</v>
      </c>
      <c r="E70" s="14">
        <v>40480.625</v>
      </c>
      <c r="F70" s="13">
        <v>4.95</v>
      </c>
      <c r="G70" s="13">
        <v>14081</v>
      </c>
      <c r="H70" s="13" t="s">
        <v>9</v>
      </c>
    </row>
    <row r="71" spans="1:8" ht="15.75" customHeight="1" x14ac:dyDescent="0.25">
      <c r="A71" s="13">
        <v>528417</v>
      </c>
      <c r="B71" s="13">
        <v>22665</v>
      </c>
      <c r="C71" s="13" t="s">
        <v>102</v>
      </c>
      <c r="D71" s="13">
        <v>6</v>
      </c>
      <c r="E71" s="14">
        <v>40473.4</v>
      </c>
      <c r="F71" s="13">
        <v>2.95</v>
      </c>
      <c r="G71" s="13">
        <v>14156</v>
      </c>
      <c r="H71" s="13" t="s">
        <v>11</v>
      </c>
    </row>
    <row r="72" spans="1:8" ht="15.75" customHeight="1" x14ac:dyDescent="0.25">
      <c r="A72" s="13">
        <v>510232</v>
      </c>
      <c r="B72" s="13">
        <v>22605</v>
      </c>
      <c r="C72" s="13" t="s">
        <v>103</v>
      </c>
      <c r="D72" s="13">
        <v>3</v>
      </c>
      <c r="E72" s="14">
        <v>40326.402777777781</v>
      </c>
      <c r="F72" s="13">
        <v>12.75</v>
      </c>
      <c r="G72" s="13">
        <v>15674</v>
      </c>
      <c r="H72" s="13" t="s">
        <v>9</v>
      </c>
    </row>
    <row r="73" spans="1:8" ht="15.75" customHeight="1" x14ac:dyDescent="0.25">
      <c r="A73" s="13">
        <v>528176</v>
      </c>
      <c r="B73" s="13" t="s">
        <v>104</v>
      </c>
      <c r="C73" s="13" t="s">
        <v>105</v>
      </c>
      <c r="D73" s="13">
        <v>4</v>
      </c>
      <c r="E73" s="14">
        <v>40472.436111111107</v>
      </c>
      <c r="F73" s="13">
        <v>4.25</v>
      </c>
      <c r="G73" s="13">
        <v>12725</v>
      </c>
      <c r="H73" s="13" t="s">
        <v>106</v>
      </c>
    </row>
    <row r="74" spans="1:8" ht="15.75" customHeight="1" x14ac:dyDescent="0.25">
      <c r="A74" s="13">
        <v>528761</v>
      </c>
      <c r="B74" s="13">
        <v>22435</v>
      </c>
      <c r="C74" s="13" t="s">
        <v>107</v>
      </c>
      <c r="D74" s="13">
        <v>12</v>
      </c>
      <c r="E74" s="14">
        <v>40475.654166666667</v>
      </c>
      <c r="F74" s="13">
        <v>1.25</v>
      </c>
      <c r="G74" s="13">
        <v>13898</v>
      </c>
      <c r="H74" s="13" t="s">
        <v>9</v>
      </c>
    </row>
    <row r="75" spans="1:8" ht="15.75" customHeight="1" x14ac:dyDescent="0.25">
      <c r="A75" s="13">
        <v>501284</v>
      </c>
      <c r="B75" s="13">
        <v>22321</v>
      </c>
      <c r="C75" s="13" t="s">
        <v>108</v>
      </c>
      <c r="D75" s="13">
        <v>24</v>
      </c>
      <c r="E75" s="14">
        <v>40252.59652777778</v>
      </c>
      <c r="F75" s="13" t="s">
        <v>109</v>
      </c>
      <c r="G75" s="13">
        <v>12714</v>
      </c>
      <c r="H75" s="13" t="s">
        <v>28</v>
      </c>
    </row>
    <row r="76" spans="1:8" ht="15.75" customHeight="1" x14ac:dyDescent="0.25">
      <c r="A76" s="13">
        <v>496703</v>
      </c>
      <c r="B76" s="13">
        <v>22076</v>
      </c>
      <c r="C76" s="13" t="s">
        <v>110</v>
      </c>
      <c r="D76" s="13">
        <v>12</v>
      </c>
      <c r="E76" s="14">
        <v>40212.556944444441</v>
      </c>
      <c r="F76" s="13">
        <v>1.65</v>
      </c>
      <c r="G76" s="13">
        <v>12396</v>
      </c>
      <c r="H76" s="13" t="s">
        <v>111</v>
      </c>
    </row>
    <row r="77" spans="1:8" ht="15.75" customHeight="1" x14ac:dyDescent="0.25">
      <c r="A77" s="13">
        <v>497946</v>
      </c>
      <c r="B77" s="13">
        <v>85198</v>
      </c>
      <c r="C77" s="13" t="s">
        <v>112</v>
      </c>
      <c r="D77" s="13">
        <v>3312</v>
      </c>
      <c r="E77" s="14">
        <v>40224.497916666667</v>
      </c>
      <c r="F77" s="13">
        <v>0.3</v>
      </c>
      <c r="G77" s="13" t="s">
        <v>113</v>
      </c>
      <c r="H77" s="13" t="s">
        <v>114</v>
      </c>
    </row>
    <row r="78" spans="1:8" ht="15.75" customHeight="1" x14ac:dyDescent="0.25">
      <c r="A78" s="13">
        <v>507178</v>
      </c>
      <c r="B78" s="13">
        <v>21121</v>
      </c>
      <c r="C78" s="13" t="s">
        <v>115</v>
      </c>
      <c r="D78" s="13">
        <v>288</v>
      </c>
      <c r="E78" s="14">
        <v>40304.636805555558</v>
      </c>
      <c r="F78" s="13">
        <v>1.06</v>
      </c>
      <c r="G78" s="13">
        <v>14646</v>
      </c>
      <c r="H78" s="13" t="s">
        <v>116</v>
      </c>
    </row>
    <row r="79" spans="1:8" ht="15.75" customHeight="1" x14ac:dyDescent="0.25">
      <c r="A79" s="13">
        <v>516265</v>
      </c>
      <c r="B79" s="13">
        <v>22378</v>
      </c>
      <c r="C79" s="13" t="s">
        <v>117</v>
      </c>
      <c r="D79" s="13">
        <v>1</v>
      </c>
      <c r="E79" s="14">
        <v>40378.504861111112</v>
      </c>
      <c r="F79" s="13">
        <v>2.1</v>
      </c>
      <c r="G79" s="13">
        <v>16782</v>
      </c>
      <c r="H79" s="13" t="s">
        <v>9</v>
      </c>
    </row>
    <row r="80" spans="1:8" ht="15.75" customHeight="1" x14ac:dyDescent="0.25">
      <c r="A80" s="13">
        <v>505885</v>
      </c>
      <c r="B80" s="13">
        <v>21175</v>
      </c>
      <c r="C80" s="13" t="s">
        <v>118</v>
      </c>
      <c r="D80" s="13">
        <v>12</v>
      </c>
      <c r="E80" s="14">
        <v>40294.586111111108</v>
      </c>
      <c r="F80" s="13">
        <v>2.1</v>
      </c>
      <c r="G80" s="13">
        <v>16623</v>
      </c>
      <c r="H80" s="13" t="s">
        <v>9</v>
      </c>
    </row>
    <row r="81" spans="1:8" ht="15.75" customHeight="1" x14ac:dyDescent="0.25">
      <c r="A81" s="13">
        <v>510139</v>
      </c>
      <c r="B81" s="13">
        <v>21892</v>
      </c>
      <c r="C81" s="13" t="s">
        <v>86</v>
      </c>
      <c r="D81" s="13">
        <v>2</v>
      </c>
      <c r="E81" s="14">
        <v>40325.51666666667</v>
      </c>
      <c r="F81" s="13">
        <v>1.25</v>
      </c>
      <c r="G81" s="13">
        <v>16695</v>
      </c>
      <c r="H81" s="13" t="s">
        <v>9</v>
      </c>
    </row>
    <row r="82" spans="1:8" ht="15.75" customHeight="1" x14ac:dyDescent="0.25">
      <c r="A82" s="13">
        <v>502628</v>
      </c>
      <c r="B82" s="13">
        <v>22262</v>
      </c>
      <c r="C82" s="13" t="s">
        <v>119</v>
      </c>
      <c r="D82" s="13" t="s">
        <v>120</v>
      </c>
      <c r="E82" s="14">
        <v>40262.65</v>
      </c>
      <c r="F82" s="13">
        <v>0.85</v>
      </c>
      <c r="G82" s="13">
        <v>16670</v>
      </c>
      <c r="H82" s="13" t="s">
        <v>9</v>
      </c>
    </row>
    <row r="83" spans="1:8" ht="15.75" customHeight="1" x14ac:dyDescent="0.25">
      <c r="A83" s="13">
        <v>511851</v>
      </c>
      <c r="B83" s="13">
        <v>48184</v>
      </c>
      <c r="C83" s="13" t="s">
        <v>121</v>
      </c>
      <c r="D83" s="13">
        <v>1</v>
      </c>
      <c r="E83" s="14">
        <v>40339.806250000001</v>
      </c>
      <c r="F83" s="13">
        <v>7.49</v>
      </c>
      <c r="G83" s="13">
        <v>13542</v>
      </c>
      <c r="H83" s="13" t="s">
        <v>9</v>
      </c>
    </row>
    <row r="84" spans="1:8" ht="15.75" customHeight="1" x14ac:dyDescent="0.25">
      <c r="A84" s="13">
        <v>500326</v>
      </c>
      <c r="B84" s="13" t="s">
        <v>122</v>
      </c>
      <c r="C84" s="13" t="s">
        <v>123</v>
      </c>
      <c r="D84" s="13">
        <v>2</v>
      </c>
      <c r="E84" s="14">
        <v>40244.517361111109</v>
      </c>
      <c r="F84" s="13">
        <v>1.65</v>
      </c>
      <c r="G84" s="13">
        <v>14877</v>
      </c>
      <c r="H84" s="13" t="s">
        <v>9</v>
      </c>
    </row>
    <row r="85" spans="1:8" ht="15.75" customHeight="1" x14ac:dyDescent="0.25">
      <c r="A85" s="13">
        <v>526089</v>
      </c>
      <c r="B85" s="13">
        <v>22294</v>
      </c>
      <c r="C85" s="13" t="s">
        <v>124</v>
      </c>
      <c r="D85" s="13">
        <v>24</v>
      </c>
      <c r="E85" s="14">
        <v>40459.509722222218</v>
      </c>
      <c r="F85" s="13">
        <v>1.25</v>
      </c>
      <c r="G85" s="13">
        <v>15281</v>
      </c>
      <c r="H85" s="13" t="s">
        <v>9</v>
      </c>
    </row>
    <row r="86" spans="1:8" ht="15.75" customHeight="1" x14ac:dyDescent="0.25">
      <c r="A86" s="13">
        <v>518432</v>
      </c>
      <c r="B86" s="13">
        <v>21212</v>
      </c>
      <c r="C86" s="13" t="s">
        <v>125</v>
      </c>
      <c r="D86" s="13">
        <v>24</v>
      </c>
      <c r="E86" s="14">
        <v>40399.462500000001</v>
      </c>
      <c r="F86" s="13">
        <v>0.55000000000000004</v>
      </c>
      <c r="G86" s="13">
        <v>14625</v>
      </c>
      <c r="H86" s="13" t="s">
        <v>9</v>
      </c>
    </row>
    <row r="87" spans="1:8" ht="15.75" customHeight="1" x14ac:dyDescent="0.25">
      <c r="A87" s="13">
        <v>533547</v>
      </c>
      <c r="B87" s="13">
        <v>84380</v>
      </c>
      <c r="C87" s="13" t="s">
        <v>126</v>
      </c>
      <c r="D87" s="13">
        <v>12</v>
      </c>
      <c r="E87" s="14">
        <v>40499.699999999997</v>
      </c>
      <c r="F87" s="13">
        <v>1.25</v>
      </c>
      <c r="G87" s="13">
        <v>16409</v>
      </c>
      <c r="H87" s="13" t="s">
        <v>9</v>
      </c>
    </row>
    <row r="88" spans="1:8" ht="15.75" customHeight="1" x14ac:dyDescent="0.25">
      <c r="A88" s="13">
        <v>527754</v>
      </c>
      <c r="B88" s="13">
        <v>84580</v>
      </c>
      <c r="C88" s="13" t="s">
        <v>127</v>
      </c>
      <c r="D88" s="13">
        <v>2</v>
      </c>
      <c r="E88" s="14">
        <v>40469.711805555547</v>
      </c>
      <c r="F88" s="13">
        <v>3.75</v>
      </c>
      <c r="G88" s="13">
        <v>15710</v>
      </c>
      <c r="H88" s="13" t="s">
        <v>9</v>
      </c>
    </row>
    <row r="89" spans="1:8" ht="15.75" customHeight="1" x14ac:dyDescent="0.25">
      <c r="A89" s="13">
        <v>496008</v>
      </c>
      <c r="B89" s="13">
        <v>21428</v>
      </c>
      <c r="C89" s="13" t="s">
        <v>128</v>
      </c>
      <c r="D89" s="13">
        <v>4</v>
      </c>
      <c r="E89" s="14">
        <v>40206.525000000001</v>
      </c>
      <c r="F89" s="13" t="s">
        <v>129</v>
      </c>
      <c r="G89" s="13">
        <v>14911</v>
      </c>
      <c r="H89" s="13" t="s">
        <v>11</v>
      </c>
    </row>
    <row r="90" spans="1:8" ht="15.75" customHeight="1" x14ac:dyDescent="0.25">
      <c r="A90" s="13">
        <v>509071</v>
      </c>
      <c r="B90" s="13">
        <v>84839</v>
      </c>
      <c r="C90" s="13" t="s">
        <v>130</v>
      </c>
      <c r="D90" s="13">
        <v>2</v>
      </c>
      <c r="E90" s="14">
        <v>40318.486805555563</v>
      </c>
      <c r="F90" s="13">
        <v>6.75</v>
      </c>
      <c r="G90" s="13">
        <v>16471</v>
      </c>
      <c r="H90" s="13" t="s">
        <v>9</v>
      </c>
    </row>
    <row r="91" spans="1:8" ht="15.75" customHeight="1" x14ac:dyDescent="0.25">
      <c r="A91" s="13">
        <v>535656</v>
      </c>
      <c r="B91" s="13">
        <v>21986</v>
      </c>
      <c r="C91" s="13" t="s">
        <v>131</v>
      </c>
      <c r="D91" s="13">
        <v>3</v>
      </c>
      <c r="E91" s="14">
        <v>40510.47152777778</v>
      </c>
      <c r="F91" s="13">
        <v>0.28999999999999998</v>
      </c>
      <c r="G91" s="13">
        <v>16010</v>
      </c>
      <c r="H91" s="13" t="s">
        <v>132</v>
      </c>
    </row>
    <row r="92" spans="1:8" ht="15.75" customHeight="1" x14ac:dyDescent="0.25">
      <c r="A92" s="13">
        <v>522885</v>
      </c>
      <c r="B92" s="13">
        <v>21535</v>
      </c>
      <c r="C92" s="13" t="s">
        <v>133</v>
      </c>
      <c r="D92" s="13">
        <v>6</v>
      </c>
      <c r="E92" s="14">
        <v>40438.504166666673</v>
      </c>
      <c r="F92" s="13">
        <v>2.5499999999999998</v>
      </c>
      <c r="G92" s="13">
        <v>13952</v>
      </c>
      <c r="H92" s="13" t="s">
        <v>9</v>
      </c>
    </row>
    <row r="93" spans="1:8" ht="15.75" customHeight="1" x14ac:dyDescent="0.25">
      <c r="A93" s="13">
        <v>502038</v>
      </c>
      <c r="B93" s="13">
        <v>20749</v>
      </c>
      <c r="C93" s="13" t="s">
        <v>134</v>
      </c>
      <c r="D93" s="13">
        <v>2</v>
      </c>
      <c r="E93" s="14">
        <v>40259.575694444437</v>
      </c>
      <c r="F93" s="13">
        <v>7.95</v>
      </c>
      <c r="G93" s="13">
        <v>13206</v>
      </c>
      <c r="H93" s="13" t="s">
        <v>9</v>
      </c>
    </row>
    <row r="94" spans="1:8" ht="15.75" customHeight="1" x14ac:dyDescent="0.25">
      <c r="A94" s="13">
        <v>516132</v>
      </c>
      <c r="B94" s="13">
        <v>22139</v>
      </c>
      <c r="C94" s="13" t="s">
        <v>135</v>
      </c>
      <c r="D94" s="13">
        <v>12</v>
      </c>
      <c r="E94" s="14">
        <v>40375.643750000003</v>
      </c>
      <c r="F94" s="13">
        <v>4.95</v>
      </c>
      <c r="G94" s="13">
        <v>16767</v>
      </c>
      <c r="H94" s="13" t="s">
        <v>9</v>
      </c>
    </row>
    <row r="95" spans="1:8" ht="15.75" customHeight="1" x14ac:dyDescent="0.25">
      <c r="A95" s="13">
        <v>511500</v>
      </c>
      <c r="B95" s="13">
        <v>21216</v>
      </c>
      <c r="C95" s="13" t="s">
        <v>136</v>
      </c>
      <c r="D95" s="13">
        <v>4</v>
      </c>
      <c r="E95" s="14">
        <v>40337.613888888889</v>
      </c>
      <c r="F95" s="13">
        <v>4.95</v>
      </c>
      <c r="G95" s="13">
        <v>14210</v>
      </c>
      <c r="H95" s="13" t="s">
        <v>9</v>
      </c>
    </row>
    <row r="96" spans="1:8" ht="15.75" customHeight="1" x14ac:dyDescent="0.25">
      <c r="A96" s="13">
        <v>518547</v>
      </c>
      <c r="B96" s="13">
        <v>21426</v>
      </c>
      <c r="C96" s="13" t="s">
        <v>137</v>
      </c>
      <c r="D96" s="13">
        <v>96</v>
      </c>
      <c r="E96" s="14">
        <v>40399.770833333343</v>
      </c>
      <c r="F96" s="13">
        <v>1.25</v>
      </c>
      <c r="G96" s="13">
        <v>18102</v>
      </c>
      <c r="H96" s="13" t="s">
        <v>138</v>
      </c>
    </row>
    <row r="97" spans="1:8" ht="15.75" customHeight="1" x14ac:dyDescent="0.25">
      <c r="A97" s="13">
        <v>501689</v>
      </c>
      <c r="B97" s="13">
        <v>22021</v>
      </c>
      <c r="C97" s="13" t="s">
        <v>139</v>
      </c>
      <c r="D97" s="13">
        <v>12</v>
      </c>
      <c r="E97" s="14">
        <v>40255.711805555547</v>
      </c>
      <c r="F97" s="13">
        <v>1.65</v>
      </c>
      <c r="G97" s="13">
        <v>15738</v>
      </c>
      <c r="H97" s="13" t="s">
        <v>9</v>
      </c>
    </row>
    <row r="98" spans="1:8" ht="15.75" customHeight="1" x14ac:dyDescent="0.25">
      <c r="A98" s="13">
        <v>489802</v>
      </c>
      <c r="B98" s="13">
        <v>85104</v>
      </c>
      <c r="C98" s="13" t="s">
        <v>140</v>
      </c>
      <c r="D98" s="13">
        <v>4</v>
      </c>
      <c r="E98" s="14">
        <v>40149.522222222222</v>
      </c>
      <c r="F98" s="13">
        <v>2.95</v>
      </c>
      <c r="G98" s="13">
        <v>15581</v>
      </c>
      <c r="H98" s="13" t="s">
        <v>9</v>
      </c>
    </row>
    <row r="99" spans="1:8" ht="15.75" customHeight="1" x14ac:dyDescent="0.25">
      <c r="A99" s="13">
        <v>497364</v>
      </c>
      <c r="B99" s="13" t="s">
        <v>141</v>
      </c>
      <c r="C99" s="13" t="s">
        <v>142</v>
      </c>
      <c r="D99" s="13">
        <v>6</v>
      </c>
      <c r="E99" s="14">
        <v>40218.407638888893</v>
      </c>
      <c r="F99" s="13">
        <v>3.75</v>
      </c>
      <c r="G99" s="13">
        <v>13131</v>
      </c>
      <c r="H99" s="13" t="s">
        <v>9</v>
      </c>
    </row>
    <row r="100" spans="1:8" ht="15.75" customHeight="1" x14ac:dyDescent="0.25">
      <c r="A100" s="13">
        <v>535332</v>
      </c>
      <c r="B100" s="13">
        <v>84879</v>
      </c>
      <c r="C100" s="13" t="s">
        <v>143</v>
      </c>
      <c r="D100" s="13">
        <v>8</v>
      </c>
      <c r="E100" s="14">
        <v>40507.663194444453</v>
      </c>
      <c r="F100" s="13">
        <v>1.69</v>
      </c>
      <c r="G100" s="13">
        <v>18161</v>
      </c>
      <c r="H100" s="13" t="s">
        <v>9</v>
      </c>
    </row>
    <row r="101" spans="1:8" ht="15.75" customHeight="1" x14ac:dyDescent="0.25">
      <c r="A101" s="13">
        <v>513953</v>
      </c>
      <c r="B101" s="13">
        <v>21043</v>
      </c>
      <c r="C101" s="13" t="s">
        <v>144</v>
      </c>
      <c r="D101" s="13">
        <v>3</v>
      </c>
      <c r="E101" s="14">
        <v>40358.593055555553</v>
      </c>
      <c r="F101" s="13">
        <v>5.95</v>
      </c>
      <c r="G101" s="13">
        <v>14426</v>
      </c>
      <c r="H101" s="13" t="s">
        <v>9</v>
      </c>
    </row>
    <row r="102" spans="1:8" ht="15.75" customHeight="1" x14ac:dyDescent="0.25">
      <c r="A102" s="13">
        <v>494359</v>
      </c>
      <c r="B102" s="13">
        <v>21730</v>
      </c>
      <c r="C102" s="13" t="s">
        <v>145</v>
      </c>
      <c r="D102" s="13">
        <v>2</v>
      </c>
      <c r="E102" s="14">
        <v>40191.64166666667</v>
      </c>
      <c r="F102" s="13">
        <v>4.95</v>
      </c>
      <c r="G102" s="13">
        <v>17962</v>
      </c>
      <c r="H102" s="13" t="s">
        <v>9</v>
      </c>
    </row>
    <row r="103" spans="1:8" ht="15.75" customHeight="1" x14ac:dyDescent="0.25">
      <c r="A103" s="13">
        <v>533376</v>
      </c>
      <c r="B103" s="13">
        <v>22113</v>
      </c>
      <c r="C103" s="13" t="s">
        <v>146</v>
      </c>
      <c r="D103" s="13">
        <v>12</v>
      </c>
      <c r="E103" s="14">
        <v>40499.443749999999</v>
      </c>
      <c r="F103" s="13" t="s">
        <v>147</v>
      </c>
      <c r="G103" s="13">
        <v>15640</v>
      </c>
      <c r="H103" s="13" t="s">
        <v>9</v>
      </c>
    </row>
    <row r="104" spans="1:8" ht="15.75" customHeight="1" x14ac:dyDescent="0.25">
      <c r="A104" s="13">
        <v>536975</v>
      </c>
      <c r="B104" s="13" t="s">
        <v>148</v>
      </c>
      <c r="C104" s="13" t="s">
        <v>149</v>
      </c>
      <c r="D104" s="13">
        <v>4</v>
      </c>
      <c r="E104" s="14">
        <v>40515.586111111108</v>
      </c>
      <c r="F104" s="13">
        <v>3.75</v>
      </c>
      <c r="G104" s="13">
        <v>14911</v>
      </c>
      <c r="H104" s="13" t="s">
        <v>11</v>
      </c>
    </row>
    <row r="105" spans="1:8" ht="15.75" customHeight="1" x14ac:dyDescent="0.25">
      <c r="A105" s="13">
        <v>537346</v>
      </c>
      <c r="B105" s="13">
        <v>22733</v>
      </c>
      <c r="C105" s="13" t="s">
        <v>150</v>
      </c>
      <c r="D105" s="13">
        <v>18</v>
      </c>
      <c r="E105" s="14">
        <v>40518.51458333333</v>
      </c>
      <c r="F105" s="13">
        <v>1.25</v>
      </c>
      <c r="G105" s="13">
        <v>15301</v>
      </c>
      <c r="H105" s="13" t="s">
        <v>9</v>
      </c>
    </row>
    <row r="106" spans="1:8" ht="15.75" customHeight="1" x14ac:dyDescent="0.25">
      <c r="A106" s="13">
        <v>525577</v>
      </c>
      <c r="B106" s="13">
        <v>22208</v>
      </c>
      <c r="C106" s="13" t="s">
        <v>151</v>
      </c>
      <c r="D106" s="13">
        <v>36</v>
      </c>
      <c r="E106" s="14">
        <v>40457.445138888892</v>
      </c>
      <c r="F106" s="13">
        <v>1.65</v>
      </c>
      <c r="G106" s="13">
        <v>16253</v>
      </c>
      <c r="H106" s="13" t="s">
        <v>9</v>
      </c>
    </row>
    <row r="107" spans="1:8" ht="15.75" customHeight="1" x14ac:dyDescent="0.25">
      <c r="A107" s="13">
        <v>533064</v>
      </c>
      <c r="B107" s="13">
        <v>22141</v>
      </c>
      <c r="C107" s="13" t="s">
        <v>152</v>
      </c>
      <c r="D107" s="13">
        <v>1</v>
      </c>
      <c r="E107" s="14">
        <v>40497.709027777782</v>
      </c>
      <c r="F107" s="13">
        <v>2.1</v>
      </c>
      <c r="G107" s="13">
        <v>17364</v>
      </c>
      <c r="H107" s="13" t="s">
        <v>9</v>
      </c>
    </row>
    <row r="108" spans="1:8" ht="15.75" customHeight="1" x14ac:dyDescent="0.25">
      <c r="A108" s="13">
        <v>523648</v>
      </c>
      <c r="B108" s="13" t="s">
        <v>153</v>
      </c>
      <c r="C108" s="13" t="s">
        <v>154</v>
      </c>
      <c r="D108" s="13">
        <v>6</v>
      </c>
      <c r="E108" s="14">
        <v>40444.525694444441</v>
      </c>
      <c r="F108" s="13">
        <v>2.95</v>
      </c>
      <c r="G108" s="13">
        <v>16830</v>
      </c>
      <c r="H108" s="13" t="s">
        <v>9</v>
      </c>
    </row>
    <row r="109" spans="1:8" ht="15.75" customHeight="1" x14ac:dyDescent="0.25">
      <c r="A109" s="13">
        <v>525974</v>
      </c>
      <c r="B109" s="13">
        <v>22948</v>
      </c>
      <c r="C109" s="13" t="s">
        <v>155</v>
      </c>
      <c r="D109" s="13">
        <v>24</v>
      </c>
      <c r="E109" s="14">
        <v>40459.432638888888</v>
      </c>
      <c r="F109" s="13">
        <v>0.85</v>
      </c>
      <c r="G109" s="13">
        <v>14769</v>
      </c>
      <c r="H109" s="13" t="s">
        <v>9</v>
      </c>
    </row>
    <row r="110" spans="1:8" ht="15.75" customHeight="1" x14ac:dyDescent="0.25">
      <c r="A110" s="13">
        <v>533841</v>
      </c>
      <c r="B110" s="13">
        <v>20961</v>
      </c>
      <c r="C110" s="13" t="s">
        <v>156</v>
      </c>
      <c r="D110" s="13">
        <v>1</v>
      </c>
      <c r="E110" s="14">
        <v>40501.466666666667</v>
      </c>
      <c r="F110" s="13">
        <v>1.25</v>
      </c>
      <c r="G110" s="13">
        <v>17269</v>
      </c>
      <c r="H110" s="13" t="s">
        <v>9</v>
      </c>
    </row>
    <row r="111" spans="1:8" ht="15.75" customHeight="1" x14ac:dyDescent="0.25">
      <c r="A111" s="13">
        <v>537762</v>
      </c>
      <c r="B111" s="13">
        <v>22909</v>
      </c>
      <c r="C111" s="13" t="s">
        <v>157</v>
      </c>
      <c r="D111" s="13">
        <v>12</v>
      </c>
      <c r="E111" s="14">
        <v>40520.500694444447</v>
      </c>
      <c r="F111" s="13">
        <v>0.85</v>
      </c>
      <c r="G111" s="13">
        <v>16558</v>
      </c>
      <c r="H111" s="13" t="s">
        <v>9</v>
      </c>
    </row>
    <row r="112" spans="1:8" ht="15.75" customHeight="1" x14ac:dyDescent="0.25">
      <c r="A112" s="13">
        <v>525898</v>
      </c>
      <c r="B112" s="13">
        <v>35924</v>
      </c>
      <c r="C112" s="13" t="s">
        <v>158</v>
      </c>
      <c r="D112" s="13">
        <v>1</v>
      </c>
      <c r="E112" s="14">
        <v>40458.647916666669</v>
      </c>
      <c r="F112" s="13">
        <v>2.1</v>
      </c>
      <c r="G112" s="13">
        <v>16072</v>
      </c>
      <c r="H112" s="13" t="s">
        <v>9</v>
      </c>
    </row>
    <row r="113" spans="1:8" ht="15.75" customHeight="1" x14ac:dyDescent="0.25">
      <c r="A113" s="13">
        <v>507880</v>
      </c>
      <c r="B113" s="13">
        <v>47568</v>
      </c>
      <c r="C113" s="13" t="s">
        <v>159</v>
      </c>
      <c r="D113" s="13">
        <v>6</v>
      </c>
      <c r="E113" s="14">
        <v>40309.627083333333</v>
      </c>
      <c r="F113" s="13">
        <v>2.1</v>
      </c>
      <c r="G113" s="13">
        <v>12455</v>
      </c>
      <c r="H113" s="13" t="s">
        <v>160</v>
      </c>
    </row>
    <row r="114" spans="1:8" ht="15.75" customHeight="1" x14ac:dyDescent="0.25">
      <c r="A114" s="13">
        <v>537065</v>
      </c>
      <c r="B114" s="13" t="s">
        <v>141</v>
      </c>
      <c r="C114" s="13" t="s">
        <v>161</v>
      </c>
      <c r="D114" s="13">
        <v>6</v>
      </c>
      <c r="E114" s="14">
        <v>40517.497916666667</v>
      </c>
      <c r="F114" s="13">
        <v>3.75</v>
      </c>
      <c r="G114" s="13">
        <v>12567</v>
      </c>
      <c r="H114" s="13" t="s">
        <v>28</v>
      </c>
    </row>
    <row r="115" spans="1:8" ht="15.75" customHeight="1" x14ac:dyDescent="0.25">
      <c r="A115" s="13">
        <v>504413</v>
      </c>
      <c r="B115" s="13">
        <v>22440</v>
      </c>
      <c r="C115" s="13" t="s">
        <v>162</v>
      </c>
      <c r="D115" s="13">
        <v>20</v>
      </c>
      <c r="E115" s="14">
        <v>40281.518750000003</v>
      </c>
      <c r="F115" s="13">
        <v>0.42</v>
      </c>
      <c r="G115" s="13">
        <v>13089</v>
      </c>
      <c r="H115" s="13" t="s">
        <v>9</v>
      </c>
    </row>
    <row r="116" spans="1:8" ht="15.75" customHeight="1" x14ac:dyDescent="0.25">
      <c r="A116" s="13">
        <v>525286</v>
      </c>
      <c r="B116" s="13">
        <v>20825</v>
      </c>
      <c r="C116" s="13" t="s">
        <v>163</v>
      </c>
      <c r="D116" s="13">
        <v>288</v>
      </c>
      <c r="E116" s="14">
        <v>40456.356944444437</v>
      </c>
      <c r="F116" s="13">
        <v>3.39</v>
      </c>
      <c r="G116" s="13">
        <v>15061</v>
      </c>
      <c r="H116" s="13" t="s">
        <v>9</v>
      </c>
    </row>
    <row r="117" spans="1:8" ht="15.75" customHeight="1" x14ac:dyDescent="0.25">
      <c r="A117" s="13">
        <v>511081</v>
      </c>
      <c r="B117" s="13">
        <v>22470</v>
      </c>
      <c r="C117" s="13" t="s">
        <v>164</v>
      </c>
      <c r="D117" s="13">
        <v>6</v>
      </c>
      <c r="E117" s="14">
        <v>40335.586805555547</v>
      </c>
      <c r="F117" s="13">
        <v>2.95</v>
      </c>
      <c r="G117" s="13">
        <v>14128</v>
      </c>
      <c r="H117" s="13" t="s">
        <v>9</v>
      </c>
    </row>
    <row r="118" spans="1:8" ht="15.75" customHeight="1" x14ac:dyDescent="0.25">
      <c r="A118" s="13">
        <v>490957</v>
      </c>
      <c r="B118" s="13">
        <v>22134</v>
      </c>
      <c r="C118" s="13" t="s">
        <v>165</v>
      </c>
      <c r="D118" s="13">
        <v>12</v>
      </c>
      <c r="E118" s="14">
        <v>40155.633333333331</v>
      </c>
      <c r="F118" s="13">
        <v>0.42</v>
      </c>
      <c r="G118" s="13">
        <v>15823</v>
      </c>
      <c r="H118" s="13" t="s">
        <v>9</v>
      </c>
    </row>
    <row r="119" spans="1:8" ht="15.75" customHeight="1" x14ac:dyDescent="0.25">
      <c r="A119" s="13">
        <v>500336</v>
      </c>
      <c r="B119" s="13">
        <v>21327</v>
      </c>
      <c r="C119" s="13" t="s">
        <v>166</v>
      </c>
      <c r="D119" s="13">
        <v>2</v>
      </c>
      <c r="E119" s="14">
        <v>40244.574999999997</v>
      </c>
      <c r="F119" s="13">
        <v>1.65</v>
      </c>
      <c r="G119" s="13">
        <v>17589</v>
      </c>
      <c r="H119" s="13" t="s">
        <v>132</v>
      </c>
    </row>
    <row r="120" spans="1:8" ht="15.75" customHeight="1" x14ac:dyDescent="0.25">
      <c r="A120" s="13">
        <v>528470</v>
      </c>
      <c r="B120" s="13">
        <v>22947</v>
      </c>
      <c r="C120" s="13" t="s">
        <v>167</v>
      </c>
      <c r="D120" s="13">
        <v>1</v>
      </c>
      <c r="E120" s="14">
        <v>40473.486111111109</v>
      </c>
      <c r="F120" s="13">
        <v>16.95</v>
      </c>
      <c r="G120" s="13">
        <v>16392</v>
      </c>
      <c r="H120" s="13" t="s">
        <v>9</v>
      </c>
    </row>
    <row r="121" spans="1:8" ht="15.75" customHeight="1" x14ac:dyDescent="0.25">
      <c r="A121" s="13">
        <v>521406</v>
      </c>
      <c r="B121" s="13">
        <v>22379</v>
      </c>
      <c r="C121" s="13" t="s">
        <v>168</v>
      </c>
      <c r="D121" s="13">
        <v>25</v>
      </c>
      <c r="E121" s="14">
        <v>40427.445833333331</v>
      </c>
      <c r="F121" s="13">
        <v>2.1</v>
      </c>
      <c r="G121" s="13">
        <v>13093</v>
      </c>
      <c r="H121" s="13" t="s">
        <v>9</v>
      </c>
    </row>
    <row r="122" spans="1:8" ht="15.75" customHeight="1" x14ac:dyDescent="0.25">
      <c r="A122" s="13">
        <v>526945</v>
      </c>
      <c r="B122" s="13">
        <v>22764</v>
      </c>
      <c r="C122" s="13" t="s">
        <v>169</v>
      </c>
      <c r="D122" s="13">
        <v>34</v>
      </c>
      <c r="E122" s="14">
        <v>40465.4375</v>
      </c>
      <c r="F122" s="13">
        <v>16.88</v>
      </c>
      <c r="G122" s="13">
        <v>18102</v>
      </c>
      <c r="H122" s="13" t="s">
        <v>9</v>
      </c>
    </row>
    <row r="123" spans="1:8" ht="15.75" customHeight="1" x14ac:dyDescent="0.25">
      <c r="A123" s="13">
        <v>502613</v>
      </c>
      <c r="B123" s="13">
        <v>22082</v>
      </c>
      <c r="C123" s="13" t="s">
        <v>170</v>
      </c>
      <c r="D123" s="13">
        <v>5</v>
      </c>
      <c r="E123" s="14">
        <v>40262.598611111112</v>
      </c>
      <c r="F123" s="13">
        <v>1.65</v>
      </c>
      <c r="G123" s="13">
        <v>14535</v>
      </c>
      <c r="H123" s="13" t="s">
        <v>9</v>
      </c>
    </row>
    <row r="124" spans="1:8" ht="15.75" customHeight="1" x14ac:dyDescent="0.25">
      <c r="A124" s="13">
        <v>498594</v>
      </c>
      <c r="B124" s="13" t="s">
        <v>171</v>
      </c>
      <c r="C124" s="13" t="s">
        <v>172</v>
      </c>
      <c r="D124" s="13">
        <v>1</v>
      </c>
      <c r="E124" s="14">
        <v>40230.658333333333</v>
      </c>
      <c r="F124" s="13">
        <v>1.95</v>
      </c>
      <c r="G124" s="13">
        <v>16797</v>
      </c>
      <c r="H124" s="13" t="s">
        <v>9</v>
      </c>
    </row>
    <row r="125" spans="1:8" ht="15.75" customHeight="1" x14ac:dyDescent="0.25">
      <c r="A125" s="13">
        <v>528734</v>
      </c>
      <c r="B125" s="13">
        <v>22303</v>
      </c>
      <c r="C125" s="13" t="s">
        <v>173</v>
      </c>
      <c r="D125" s="13">
        <v>6</v>
      </c>
      <c r="E125" s="14">
        <v>40475.579861111109</v>
      </c>
      <c r="F125" s="13">
        <v>2.5499999999999998</v>
      </c>
      <c r="G125" s="13">
        <v>17435</v>
      </c>
      <c r="H125" s="13" t="s">
        <v>9</v>
      </c>
    </row>
    <row r="126" spans="1:8" ht="15.75" customHeight="1" x14ac:dyDescent="0.25">
      <c r="A126" s="13">
        <v>516485</v>
      </c>
      <c r="B126" s="13">
        <v>22617</v>
      </c>
      <c r="C126" s="13" t="s">
        <v>174</v>
      </c>
      <c r="D126" s="13">
        <v>3</v>
      </c>
      <c r="E126" s="14">
        <v>40380.406944444447</v>
      </c>
      <c r="F126" s="13">
        <v>4.95</v>
      </c>
      <c r="G126" s="13">
        <v>12720</v>
      </c>
      <c r="H126" s="13" t="s">
        <v>17</v>
      </c>
    </row>
    <row r="127" spans="1:8" ht="15.75" customHeight="1" x14ac:dyDescent="0.25">
      <c r="A127" s="13">
        <v>535266</v>
      </c>
      <c r="B127" s="13">
        <v>22975</v>
      </c>
      <c r="C127" s="13" t="s">
        <v>175</v>
      </c>
      <c r="D127" s="13">
        <v>1</v>
      </c>
      <c r="E127" s="14">
        <v>40507.563888888893</v>
      </c>
      <c r="F127" s="13">
        <v>1.25</v>
      </c>
      <c r="G127" s="13">
        <v>14159</v>
      </c>
      <c r="H127" s="13" t="s">
        <v>9</v>
      </c>
    </row>
    <row r="128" spans="1:8" ht="15.75" customHeight="1" x14ac:dyDescent="0.25">
      <c r="A128" s="13">
        <v>495010</v>
      </c>
      <c r="B128" s="13" t="s">
        <v>176</v>
      </c>
      <c r="C128" s="13" t="s">
        <v>177</v>
      </c>
      <c r="D128" s="13">
        <v>2</v>
      </c>
      <c r="E128" s="14">
        <v>40198.524305555547</v>
      </c>
      <c r="F128" s="13">
        <v>7.95</v>
      </c>
      <c r="G128" s="13">
        <v>15191</v>
      </c>
      <c r="H128" s="13" t="s">
        <v>9</v>
      </c>
    </row>
    <row r="129" spans="1:8" ht="15.75" customHeight="1" x14ac:dyDescent="0.25">
      <c r="A129" s="13">
        <v>536557</v>
      </c>
      <c r="B129" s="13">
        <v>22111</v>
      </c>
      <c r="C129" s="13" t="s">
        <v>178</v>
      </c>
      <c r="D129" s="13">
        <v>7</v>
      </c>
      <c r="E129" s="14">
        <v>40513.611805555563</v>
      </c>
      <c r="F129" s="13">
        <v>4.95</v>
      </c>
      <c r="G129" s="13">
        <v>17841</v>
      </c>
      <c r="H129" s="13" t="s">
        <v>9</v>
      </c>
    </row>
    <row r="130" spans="1:8" ht="15.75" customHeight="1" x14ac:dyDescent="0.25">
      <c r="A130" s="13">
        <v>499377</v>
      </c>
      <c r="B130" s="13">
        <v>20621</v>
      </c>
      <c r="C130" s="13" t="s">
        <v>179</v>
      </c>
      <c r="D130" s="13">
        <v>1</v>
      </c>
      <c r="E130" s="14">
        <v>40235.499305555553</v>
      </c>
      <c r="F130" s="13">
        <v>2.1</v>
      </c>
      <c r="G130" s="13">
        <v>14177</v>
      </c>
      <c r="H130" s="13" t="s">
        <v>9</v>
      </c>
    </row>
    <row r="131" spans="1:8" ht="15.75" customHeight="1" x14ac:dyDescent="0.25">
      <c r="A131" s="13">
        <v>523867</v>
      </c>
      <c r="B131" s="13">
        <v>21872</v>
      </c>
      <c r="C131" s="13" t="s">
        <v>180</v>
      </c>
      <c r="D131" s="13">
        <v>1</v>
      </c>
      <c r="E131" s="14">
        <v>40445.529861111107</v>
      </c>
      <c r="F131" s="13">
        <v>1.25</v>
      </c>
      <c r="G131" s="13">
        <v>13174</v>
      </c>
      <c r="H131" s="13" t="s">
        <v>9</v>
      </c>
    </row>
    <row r="132" spans="1:8" ht="15.75" customHeight="1" x14ac:dyDescent="0.25">
      <c r="A132" s="13">
        <v>512527</v>
      </c>
      <c r="B132" s="13">
        <v>22421</v>
      </c>
      <c r="C132" s="13" t="s">
        <v>181</v>
      </c>
      <c r="D132" s="13">
        <v>12</v>
      </c>
      <c r="E132" s="14">
        <v>40345.495138888888</v>
      </c>
      <c r="F132" s="13">
        <v>0.42</v>
      </c>
      <c r="G132" s="13">
        <v>17448</v>
      </c>
      <c r="H132" s="13" t="s">
        <v>9</v>
      </c>
    </row>
    <row r="133" spans="1:8" ht="15.75" customHeight="1" x14ac:dyDescent="0.25">
      <c r="A133" s="13">
        <v>510331</v>
      </c>
      <c r="B133" s="13">
        <v>22613</v>
      </c>
      <c r="C133" s="13" t="s">
        <v>182</v>
      </c>
      <c r="D133" s="13">
        <v>12</v>
      </c>
      <c r="E133" s="14">
        <v>40326.581250000003</v>
      </c>
      <c r="F133" s="13">
        <v>0.85</v>
      </c>
      <c r="G133" s="13">
        <v>13081</v>
      </c>
      <c r="H133" s="13" t="s">
        <v>9</v>
      </c>
    </row>
    <row r="134" spans="1:8" ht="15.75" customHeight="1" x14ac:dyDescent="0.25">
      <c r="A134" s="13">
        <v>509985</v>
      </c>
      <c r="B134" s="13">
        <v>48138</v>
      </c>
      <c r="C134" s="13" t="s">
        <v>183</v>
      </c>
      <c r="D134" s="13">
        <v>2</v>
      </c>
      <c r="E134" s="14">
        <v>40324.613194444442</v>
      </c>
      <c r="F134" s="13">
        <v>7.49</v>
      </c>
      <c r="G134" s="13">
        <v>12681</v>
      </c>
      <c r="H134" s="13" t="s">
        <v>28</v>
      </c>
    </row>
    <row r="135" spans="1:8" ht="15.75" customHeight="1" x14ac:dyDescent="0.25">
      <c r="A135" s="13">
        <v>521363</v>
      </c>
      <c r="B135" s="13">
        <v>22595</v>
      </c>
      <c r="C135" s="13" t="s">
        <v>184</v>
      </c>
      <c r="D135" s="13">
        <v>48</v>
      </c>
      <c r="E135" s="14">
        <v>40426.42083333333</v>
      </c>
      <c r="F135" s="13">
        <v>0.85</v>
      </c>
      <c r="G135" s="13">
        <v>15255</v>
      </c>
      <c r="H135" s="13" t="s">
        <v>9</v>
      </c>
    </row>
    <row r="136" spans="1:8" ht="15.75" customHeight="1" x14ac:dyDescent="0.25">
      <c r="A136" s="13">
        <v>503837</v>
      </c>
      <c r="B136" s="13" t="s">
        <v>185</v>
      </c>
      <c r="C136" s="13" t="s">
        <v>186</v>
      </c>
      <c r="D136" s="13">
        <v>12</v>
      </c>
      <c r="E136" s="14">
        <v>40275.681250000001</v>
      </c>
      <c r="F136" s="13">
        <v>0.85</v>
      </c>
      <c r="G136" s="13">
        <v>17738</v>
      </c>
      <c r="H136" s="13" t="s">
        <v>9</v>
      </c>
    </row>
    <row r="137" spans="1:8" ht="15.75" customHeight="1" x14ac:dyDescent="0.25">
      <c r="A137" s="13">
        <v>507122</v>
      </c>
      <c r="B137" s="13">
        <v>21987</v>
      </c>
      <c r="C137" s="13" t="s">
        <v>187</v>
      </c>
      <c r="D137" s="13">
        <v>84</v>
      </c>
      <c r="E137" s="14">
        <v>40304.493055555547</v>
      </c>
      <c r="F137" s="13">
        <v>0.65</v>
      </c>
      <c r="G137" s="13">
        <v>12678</v>
      </c>
      <c r="H137" s="13" t="s">
        <v>28</v>
      </c>
    </row>
    <row r="138" spans="1:8" ht="15.75" customHeight="1" x14ac:dyDescent="0.25">
      <c r="A138" s="13">
        <v>528329</v>
      </c>
      <c r="B138" s="13">
        <v>21866</v>
      </c>
      <c r="C138" s="13" t="s">
        <v>188</v>
      </c>
      <c r="D138" s="13">
        <v>1</v>
      </c>
      <c r="E138" s="14">
        <v>40472.557638888888</v>
      </c>
      <c r="F138" s="13">
        <v>1.25</v>
      </c>
      <c r="G138" s="13">
        <v>13891</v>
      </c>
      <c r="H138" s="13" t="s">
        <v>9</v>
      </c>
    </row>
    <row r="139" spans="1:8" ht="15.75" customHeight="1" x14ac:dyDescent="0.25">
      <c r="A139" s="13">
        <v>521973</v>
      </c>
      <c r="B139" s="13">
        <v>20754</v>
      </c>
      <c r="C139" s="13" t="s">
        <v>189</v>
      </c>
      <c r="D139" s="13">
        <v>1</v>
      </c>
      <c r="E139" s="14">
        <v>40430.823611111111</v>
      </c>
      <c r="F139" s="13" t="s">
        <v>190</v>
      </c>
      <c r="G139" s="13">
        <v>17366</v>
      </c>
      <c r="H139" s="13" t="s">
        <v>9</v>
      </c>
    </row>
    <row r="140" spans="1:8" ht="15.75" customHeight="1" x14ac:dyDescent="0.25">
      <c r="A140" s="13">
        <v>515760</v>
      </c>
      <c r="B140" s="13">
        <v>85150</v>
      </c>
      <c r="C140" s="13" t="s">
        <v>191</v>
      </c>
      <c r="D140" s="13">
        <v>12</v>
      </c>
      <c r="E140" s="14">
        <v>40373.569444444453</v>
      </c>
      <c r="F140" s="13">
        <v>2.5499999999999998</v>
      </c>
      <c r="G140" s="13">
        <v>13012</v>
      </c>
      <c r="H140" s="13" t="s">
        <v>9</v>
      </c>
    </row>
    <row r="141" spans="1:8" ht="15.75" customHeight="1" x14ac:dyDescent="0.25">
      <c r="A141" s="13">
        <v>508721</v>
      </c>
      <c r="B141" s="13">
        <v>21870</v>
      </c>
      <c r="C141" s="13" t="s">
        <v>192</v>
      </c>
      <c r="D141" s="13">
        <v>2</v>
      </c>
      <c r="E141" s="14">
        <v>40315.724999999999</v>
      </c>
      <c r="F141" s="13">
        <v>1.25</v>
      </c>
      <c r="G141" s="13">
        <v>14606</v>
      </c>
      <c r="H141" s="13" t="s">
        <v>9</v>
      </c>
    </row>
    <row r="142" spans="1:8" ht="15.75" customHeight="1" x14ac:dyDescent="0.25">
      <c r="A142" s="13">
        <v>500354</v>
      </c>
      <c r="B142" s="13">
        <v>22178</v>
      </c>
      <c r="C142" s="13" t="s">
        <v>193</v>
      </c>
      <c r="D142" s="13">
        <v>12</v>
      </c>
      <c r="E142" s="14">
        <v>40244.643750000003</v>
      </c>
      <c r="F142" s="13">
        <v>1.25</v>
      </c>
      <c r="G142" s="13">
        <v>13026</v>
      </c>
      <c r="H142" s="13" t="s">
        <v>9</v>
      </c>
    </row>
    <row r="143" spans="1:8" ht="15.75" customHeight="1" x14ac:dyDescent="0.25">
      <c r="A143" s="13">
        <v>495715</v>
      </c>
      <c r="B143" s="13">
        <v>21179</v>
      </c>
      <c r="C143" s="13" t="s">
        <v>194</v>
      </c>
      <c r="D143" s="13">
        <v>2</v>
      </c>
      <c r="E143" s="14">
        <v>40204.586805555547</v>
      </c>
      <c r="F143" s="13">
        <v>1.25</v>
      </c>
      <c r="G143" s="13">
        <v>13610</v>
      </c>
      <c r="H143" s="13" t="s">
        <v>9</v>
      </c>
    </row>
    <row r="144" spans="1:8" ht="15.75" customHeight="1" x14ac:dyDescent="0.25">
      <c r="A144" s="13">
        <v>493948</v>
      </c>
      <c r="B144" s="13">
        <v>48194</v>
      </c>
      <c r="C144" s="13" t="s">
        <v>195</v>
      </c>
      <c r="D144" s="13">
        <v>3</v>
      </c>
      <c r="E144" s="14">
        <v>40186.526388888888</v>
      </c>
      <c r="F144" s="13">
        <v>6.75</v>
      </c>
      <c r="G144" s="13">
        <v>16772</v>
      </c>
      <c r="H144" s="13" t="s">
        <v>9</v>
      </c>
    </row>
    <row r="145" spans="1:8" ht="15.75" customHeight="1" x14ac:dyDescent="0.25">
      <c r="A145" s="13">
        <v>513053</v>
      </c>
      <c r="B145" s="13">
        <v>22077</v>
      </c>
      <c r="C145" s="13" t="s">
        <v>196</v>
      </c>
      <c r="D145" s="13">
        <v>12</v>
      </c>
      <c r="E145" s="13" t="s">
        <v>197</v>
      </c>
      <c r="F145" s="13">
        <v>1.65</v>
      </c>
      <c r="G145" s="13">
        <v>16062</v>
      </c>
      <c r="H145" s="13" t="s">
        <v>9</v>
      </c>
    </row>
    <row r="146" spans="1:8" ht="15.75" customHeight="1" x14ac:dyDescent="0.25">
      <c r="A146" s="13">
        <v>496058</v>
      </c>
      <c r="B146" s="13">
        <v>21710</v>
      </c>
      <c r="C146" s="13" t="s">
        <v>198</v>
      </c>
      <c r="D146" s="13">
        <v>4</v>
      </c>
      <c r="E146" s="14">
        <v>40206.636805555558</v>
      </c>
      <c r="F146" s="13">
        <v>4.95</v>
      </c>
      <c r="G146" s="13">
        <v>17115</v>
      </c>
      <c r="H146" s="13" t="s">
        <v>9</v>
      </c>
    </row>
    <row r="147" spans="1:8" ht="15.75" customHeight="1" x14ac:dyDescent="0.25">
      <c r="A147" s="13">
        <v>528966</v>
      </c>
      <c r="B147" s="13">
        <v>22112</v>
      </c>
      <c r="C147" s="13" t="s">
        <v>199</v>
      </c>
      <c r="D147" s="13">
        <v>3</v>
      </c>
      <c r="E147" s="14">
        <v>40477.418749999997</v>
      </c>
      <c r="F147" s="13">
        <v>4.95</v>
      </c>
      <c r="G147" s="13">
        <v>16863</v>
      </c>
      <c r="H147" s="13" t="s">
        <v>9</v>
      </c>
    </row>
    <row r="148" spans="1:8" ht="15.75" customHeight="1" x14ac:dyDescent="0.25">
      <c r="A148" s="13">
        <v>521775</v>
      </c>
      <c r="B148" s="13">
        <v>48111</v>
      </c>
      <c r="C148" s="13" t="s">
        <v>200</v>
      </c>
      <c r="D148" s="13">
        <v>4</v>
      </c>
      <c r="E148" s="14">
        <v>40429.526388888888</v>
      </c>
      <c r="F148" s="13">
        <v>7.95</v>
      </c>
      <c r="G148" s="13">
        <v>13728</v>
      </c>
      <c r="H148" s="13" t="s">
        <v>9</v>
      </c>
    </row>
    <row r="149" spans="1:8" ht="15.75" customHeight="1" x14ac:dyDescent="0.25">
      <c r="A149" s="13">
        <v>504154</v>
      </c>
      <c r="B149" s="13">
        <v>22528</v>
      </c>
      <c r="C149" s="13" t="s">
        <v>201</v>
      </c>
      <c r="D149" s="13">
        <v>4</v>
      </c>
      <c r="E149" s="14">
        <v>40279.602777777778</v>
      </c>
      <c r="F149" s="13">
        <v>1.25</v>
      </c>
      <c r="G149" s="13">
        <v>15443</v>
      </c>
      <c r="H149" s="13" t="s">
        <v>9</v>
      </c>
    </row>
    <row r="150" spans="1:8" ht="15.75" customHeight="1" x14ac:dyDescent="0.25">
      <c r="A150" s="13">
        <v>494267</v>
      </c>
      <c r="B150" s="13">
        <v>21260</v>
      </c>
      <c r="C150" s="13" t="s">
        <v>202</v>
      </c>
      <c r="D150" s="13">
        <v>1</v>
      </c>
      <c r="E150" s="14">
        <v>40190.71875</v>
      </c>
      <c r="F150" s="13">
        <v>3.25</v>
      </c>
      <c r="G150" s="13">
        <v>14606</v>
      </c>
      <c r="H150" s="13" t="s">
        <v>9</v>
      </c>
    </row>
    <row r="151" spans="1:8" ht="15.75" customHeight="1" x14ac:dyDescent="0.25">
      <c r="A151" s="13">
        <v>505479</v>
      </c>
      <c r="B151" s="13">
        <v>22194</v>
      </c>
      <c r="C151" s="13" t="s">
        <v>203</v>
      </c>
      <c r="D151" s="13">
        <v>1</v>
      </c>
      <c r="E151" s="14">
        <v>40290.508333333331</v>
      </c>
      <c r="F151" s="13">
        <v>8.5</v>
      </c>
      <c r="G151" s="13">
        <v>18231</v>
      </c>
      <c r="H151" s="13" t="s">
        <v>9</v>
      </c>
    </row>
    <row r="152" spans="1:8" ht="15.75" customHeight="1" x14ac:dyDescent="0.25">
      <c r="A152" s="13">
        <v>507597</v>
      </c>
      <c r="B152" s="13">
        <v>22256</v>
      </c>
      <c r="C152" s="13" t="s">
        <v>204</v>
      </c>
      <c r="D152" s="13">
        <v>12</v>
      </c>
      <c r="E152" s="14">
        <v>40308.556250000001</v>
      </c>
      <c r="F152" s="13">
        <v>1.25</v>
      </c>
      <c r="G152" s="13" t="s">
        <v>205</v>
      </c>
      <c r="H152" s="13" t="s">
        <v>9</v>
      </c>
    </row>
    <row r="153" spans="1:8" ht="15.75" customHeight="1" x14ac:dyDescent="0.25">
      <c r="A153" s="13">
        <v>507996</v>
      </c>
      <c r="B153" s="13">
        <v>22411</v>
      </c>
      <c r="C153" s="13" t="s">
        <v>206</v>
      </c>
      <c r="D153" s="13">
        <v>200</v>
      </c>
      <c r="E153" s="14">
        <v>40310.455555555563</v>
      </c>
      <c r="F153" s="13">
        <v>1.65</v>
      </c>
      <c r="G153" s="13">
        <v>17511</v>
      </c>
      <c r="H153" s="13" t="s">
        <v>9</v>
      </c>
    </row>
    <row r="154" spans="1:8" ht="15.75" customHeight="1" x14ac:dyDescent="0.25">
      <c r="A154" s="13">
        <v>509441</v>
      </c>
      <c r="B154" s="13">
        <v>22470</v>
      </c>
      <c r="C154" s="13" t="s">
        <v>164</v>
      </c>
      <c r="D154" s="13">
        <v>2</v>
      </c>
      <c r="E154" s="14">
        <v>40321.661111111112</v>
      </c>
      <c r="F154" s="13">
        <v>2.95</v>
      </c>
      <c r="G154" s="13">
        <v>16794</v>
      </c>
      <c r="H154" s="13" t="s">
        <v>9</v>
      </c>
    </row>
    <row r="155" spans="1:8" ht="15.75" customHeight="1" x14ac:dyDescent="0.25">
      <c r="A155" s="13">
        <v>520700</v>
      </c>
      <c r="B155" s="13">
        <v>22429</v>
      </c>
      <c r="C155" s="13" t="s">
        <v>207</v>
      </c>
      <c r="D155" s="13">
        <v>1</v>
      </c>
      <c r="E155" s="14">
        <v>40419.479861111111</v>
      </c>
      <c r="F155" s="13">
        <v>4.25</v>
      </c>
      <c r="G155" s="13">
        <v>15976</v>
      </c>
      <c r="H155" s="13" t="s">
        <v>9</v>
      </c>
    </row>
    <row r="156" spans="1:8" ht="15.75" customHeight="1" x14ac:dyDescent="0.25">
      <c r="A156" s="13">
        <v>533761</v>
      </c>
      <c r="B156" s="13">
        <v>22835</v>
      </c>
      <c r="C156" s="13" t="s">
        <v>208</v>
      </c>
      <c r="D156" s="13">
        <v>1</v>
      </c>
      <c r="E156" s="14">
        <v>40500.619444444441</v>
      </c>
      <c r="F156" s="13">
        <v>4.6500000000000004</v>
      </c>
      <c r="G156" s="13">
        <v>17841</v>
      </c>
      <c r="H156" s="13" t="s">
        <v>9</v>
      </c>
    </row>
    <row r="157" spans="1:8" ht="15.75" customHeight="1" x14ac:dyDescent="0.25">
      <c r="A157" s="13" t="s">
        <v>209</v>
      </c>
      <c r="B157" s="13">
        <v>21658</v>
      </c>
      <c r="C157" s="13" t="s">
        <v>210</v>
      </c>
      <c r="D157" s="13">
        <v>-10</v>
      </c>
      <c r="E157" s="14">
        <v>40259.701388888891</v>
      </c>
      <c r="F157" s="13">
        <v>3.95</v>
      </c>
      <c r="G157" s="13">
        <v>17539</v>
      </c>
      <c r="H157" s="13" t="s">
        <v>9</v>
      </c>
    </row>
    <row r="158" spans="1:8" ht="15.75" customHeight="1" x14ac:dyDescent="0.25">
      <c r="A158" s="13">
        <v>520904</v>
      </c>
      <c r="B158" s="13">
        <v>22759</v>
      </c>
      <c r="C158" s="13" t="s">
        <v>211</v>
      </c>
      <c r="D158" s="13">
        <v>12</v>
      </c>
      <c r="E158" s="14">
        <v>40422.427083333343</v>
      </c>
      <c r="F158" s="13" t="s">
        <v>212</v>
      </c>
      <c r="G158" s="13">
        <v>16607</v>
      </c>
      <c r="H158" s="13" t="s">
        <v>9</v>
      </c>
    </row>
    <row r="159" spans="1:8" ht="15.75" customHeight="1" x14ac:dyDescent="0.25">
      <c r="A159" s="13">
        <v>534656</v>
      </c>
      <c r="B159" s="13">
        <v>22759</v>
      </c>
      <c r="C159" s="13" t="s">
        <v>211</v>
      </c>
      <c r="D159" s="13">
        <v>3</v>
      </c>
      <c r="E159" s="14">
        <v>40505.566666666673</v>
      </c>
      <c r="F159" s="13">
        <v>1.65</v>
      </c>
      <c r="G159" s="13">
        <v>13869</v>
      </c>
      <c r="H159" s="13" t="s">
        <v>9</v>
      </c>
    </row>
    <row r="160" spans="1:8" ht="15.75" customHeight="1" x14ac:dyDescent="0.25">
      <c r="A160" s="13">
        <v>511059</v>
      </c>
      <c r="B160" s="13">
        <v>21652</v>
      </c>
      <c r="C160" s="13" t="s">
        <v>213</v>
      </c>
      <c r="D160" s="13">
        <v>6</v>
      </c>
      <c r="E160" s="14">
        <v>40335.518750000003</v>
      </c>
      <c r="F160" s="13">
        <v>1.95</v>
      </c>
      <c r="G160" s="13">
        <v>16466</v>
      </c>
      <c r="H160" s="13" t="s">
        <v>9</v>
      </c>
    </row>
    <row r="161" spans="1:8" ht="15.75" customHeight="1" x14ac:dyDescent="0.25">
      <c r="A161" s="13">
        <v>523013</v>
      </c>
      <c r="B161" s="13">
        <v>21135</v>
      </c>
      <c r="C161" s="13" t="s">
        <v>214</v>
      </c>
      <c r="D161" s="13">
        <v>16</v>
      </c>
      <c r="E161" s="14">
        <v>40441.427083333343</v>
      </c>
      <c r="F161" s="13">
        <v>1.69</v>
      </c>
      <c r="G161" s="13">
        <v>15599</v>
      </c>
      <c r="H161" s="13" t="s">
        <v>9</v>
      </c>
    </row>
    <row r="162" spans="1:8" ht="15.75" customHeight="1" x14ac:dyDescent="0.25">
      <c r="A162" s="13">
        <v>499942</v>
      </c>
      <c r="B162" s="13">
        <v>21304</v>
      </c>
      <c r="C162" s="13" t="s">
        <v>215</v>
      </c>
      <c r="D162" s="13">
        <v>6</v>
      </c>
      <c r="E162" s="14">
        <v>40240.521527777782</v>
      </c>
      <c r="F162" s="13">
        <v>4.95</v>
      </c>
      <c r="G162" s="13">
        <v>13873</v>
      </c>
      <c r="H162" s="13" t="s">
        <v>9</v>
      </c>
    </row>
    <row r="163" spans="1:8" ht="15.75" customHeight="1" x14ac:dyDescent="0.25">
      <c r="A163" s="13">
        <v>495294</v>
      </c>
      <c r="B163" s="13">
        <v>21212</v>
      </c>
      <c r="C163" s="13" t="s">
        <v>125</v>
      </c>
      <c r="D163" s="13">
        <v>24</v>
      </c>
      <c r="E163" s="14">
        <v>40200.559027777781</v>
      </c>
      <c r="F163" s="13">
        <v>0.55000000000000004</v>
      </c>
      <c r="G163" s="13">
        <v>17460</v>
      </c>
      <c r="H163" s="13" t="s">
        <v>9</v>
      </c>
    </row>
    <row r="164" spans="1:8" ht="15.75" customHeight="1" x14ac:dyDescent="0.25">
      <c r="A164" s="13">
        <v>520722</v>
      </c>
      <c r="B164" s="13" t="s">
        <v>153</v>
      </c>
      <c r="C164" s="13" t="s">
        <v>154</v>
      </c>
      <c r="D164" s="13">
        <v>10</v>
      </c>
      <c r="E164" s="14">
        <v>40419.613888888889</v>
      </c>
      <c r="F164" s="13">
        <v>2.95</v>
      </c>
      <c r="G164" s="13">
        <v>18149</v>
      </c>
      <c r="H164" s="13" t="s">
        <v>9</v>
      </c>
    </row>
    <row r="165" spans="1:8" ht="15.75" customHeight="1" x14ac:dyDescent="0.25">
      <c r="A165" s="13">
        <v>532985</v>
      </c>
      <c r="B165" s="13">
        <v>22904</v>
      </c>
      <c r="C165" s="13" t="s">
        <v>216</v>
      </c>
      <c r="D165" s="13">
        <v>4</v>
      </c>
      <c r="E165" s="14">
        <v>40497.580555555563</v>
      </c>
      <c r="F165" s="13">
        <v>2.95</v>
      </c>
      <c r="G165" s="13">
        <v>12733</v>
      </c>
      <c r="H165" s="13" t="s">
        <v>217</v>
      </c>
    </row>
    <row r="166" spans="1:8" ht="15.75" customHeight="1" x14ac:dyDescent="0.25">
      <c r="A166" s="13">
        <v>514682</v>
      </c>
      <c r="B166" s="13">
        <v>37447</v>
      </c>
      <c r="C166" s="13" t="s">
        <v>218</v>
      </c>
      <c r="D166" s="13">
        <v>12</v>
      </c>
      <c r="E166" s="14">
        <v>40364.580555555563</v>
      </c>
      <c r="F166" s="13">
        <v>1.49</v>
      </c>
      <c r="G166" s="13">
        <v>12693</v>
      </c>
      <c r="H166" s="13" t="s">
        <v>17</v>
      </c>
    </row>
    <row r="167" spans="1:8" ht="15.75" customHeight="1" x14ac:dyDescent="0.25">
      <c r="A167" s="13">
        <v>522248</v>
      </c>
      <c r="B167" s="13">
        <v>84946</v>
      </c>
      <c r="C167" s="13" t="s">
        <v>24</v>
      </c>
      <c r="D167" s="13">
        <v>6</v>
      </c>
      <c r="E167" s="14">
        <v>40434.513194444437</v>
      </c>
      <c r="F167" s="13">
        <v>1.25</v>
      </c>
      <c r="G167" s="13">
        <v>13593</v>
      </c>
      <c r="H167" s="13" t="s">
        <v>9</v>
      </c>
    </row>
    <row r="168" spans="1:8" ht="15.75" customHeight="1" x14ac:dyDescent="0.25">
      <c r="A168" s="13">
        <v>497383</v>
      </c>
      <c r="B168" s="13">
        <v>85216</v>
      </c>
      <c r="C168" s="13" t="s">
        <v>219</v>
      </c>
      <c r="D168" s="13">
        <v>12</v>
      </c>
      <c r="E168" s="14">
        <v>40218.500694444447</v>
      </c>
      <c r="F168" s="13">
        <v>0.65</v>
      </c>
      <c r="G168" s="13">
        <v>12621</v>
      </c>
      <c r="H168" s="13" t="s">
        <v>220</v>
      </c>
    </row>
    <row r="169" spans="1:8" ht="15.75" customHeight="1" x14ac:dyDescent="0.25">
      <c r="A169" s="13">
        <v>501614</v>
      </c>
      <c r="B169" s="13">
        <v>21378</v>
      </c>
      <c r="C169" s="13" t="s">
        <v>221</v>
      </c>
      <c r="D169" s="13">
        <v>144</v>
      </c>
      <c r="E169" s="14">
        <v>40255.456944444442</v>
      </c>
      <c r="F169" s="13">
        <v>0.65</v>
      </c>
      <c r="G169" s="13">
        <v>13694</v>
      </c>
      <c r="H169" s="13" t="s">
        <v>9</v>
      </c>
    </row>
    <row r="170" spans="1:8" ht="15.75" customHeight="1" x14ac:dyDescent="0.25">
      <c r="A170" s="13">
        <v>508652</v>
      </c>
      <c r="B170" s="13">
        <v>37448</v>
      </c>
      <c r="C170" s="13" t="s">
        <v>222</v>
      </c>
      <c r="D170" s="13">
        <v>1</v>
      </c>
      <c r="E170" s="14">
        <v>40315.658333333333</v>
      </c>
      <c r="F170" s="13">
        <v>1.49</v>
      </c>
      <c r="G170" s="13">
        <v>16400</v>
      </c>
      <c r="H170" s="13" t="s">
        <v>9</v>
      </c>
    </row>
    <row r="171" spans="1:8" ht="15.75" customHeight="1" x14ac:dyDescent="0.25">
      <c r="A171" s="13">
        <v>533038</v>
      </c>
      <c r="B171" s="13" t="s">
        <v>223</v>
      </c>
      <c r="C171" s="13" t="s">
        <v>224</v>
      </c>
      <c r="D171" s="13">
        <v>2</v>
      </c>
      <c r="E171" s="14">
        <v>40497.675694444442</v>
      </c>
      <c r="F171" s="13">
        <v>7.95</v>
      </c>
      <c r="G171" s="13">
        <v>14065</v>
      </c>
      <c r="H171" s="13" t="s">
        <v>9</v>
      </c>
    </row>
    <row r="172" spans="1:8" ht="15.75" customHeight="1" x14ac:dyDescent="0.25">
      <c r="A172" s="13">
        <v>497909</v>
      </c>
      <c r="B172" s="13">
        <v>22058</v>
      </c>
      <c r="C172" s="13" t="s">
        <v>225</v>
      </c>
      <c r="D172" s="13">
        <v>1</v>
      </c>
      <c r="E172" s="14">
        <v>40223.568749999999</v>
      </c>
      <c r="F172" s="13">
        <v>1.49</v>
      </c>
      <c r="G172" s="13">
        <v>15272</v>
      </c>
      <c r="H172" s="13" t="s">
        <v>9</v>
      </c>
    </row>
    <row r="173" spans="1:8" ht="15.75" customHeight="1" x14ac:dyDescent="0.25">
      <c r="A173" s="13">
        <v>501267</v>
      </c>
      <c r="B173" s="13">
        <v>22292</v>
      </c>
      <c r="C173" s="13" t="s">
        <v>226</v>
      </c>
      <c r="D173" s="13">
        <v>4</v>
      </c>
      <c r="E173" s="14">
        <v>40252.537499999999</v>
      </c>
      <c r="F173" s="13">
        <v>1.45</v>
      </c>
      <c r="G173" s="13">
        <v>17085</v>
      </c>
      <c r="H173" s="13" t="s">
        <v>9</v>
      </c>
    </row>
    <row r="174" spans="1:8" ht="15.75" customHeight="1" x14ac:dyDescent="0.25">
      <c r="A174" s="13">
        <v>501710</v>
      </c>
      <c r="B174" s="13">
        <v>22151</v>
      </c>
      <c r="C174" s="13" t="s">
        <v>227</v>
      </c>
      <c r="D174" s="13">
        <v>24</v>
      </c>
      <c r="E174" s="14">
        <v>40256.421527777777</v>
      </c>
      <c r="F174" s="13">
        <v>0.42</v>
      </c>
      <c r="G174" s="13">
        <v>17738</v>
      </c>
      <c r="H174" s="13" t="s">
        <v>9</v>
      </c>
    </row>
    <row r="175" spans="1:8" ht="15.75" customHeight="1" x14ac:dyDescent="0.25">
      <c r="A175" s="13">
        <v>513559</v>
      </c>
      <c r="B175" s="13">
        <v>84789</v>
      </c>
      <c r="C175" s="13" t="s">
        <v>228</v>
      </c>
      <c r="D175" s="13">
        <v>2</v>
      </c>
      <c r="E175" s="14">
        <v>40354.565972222219</v>
      </c>
      <c r="F175" s="13">
        <v>3.75</v>
      </c>
      <c r="G175" s="13">
        <v>17804</v>
      </c>
      <c r="H175" s="13" t="s">
        <v>9</v>
      </c>
    </row>
    <row r="176" spans="1:8" ht="15.75" customHeight="1" x14ac:dyDescent="0.25">
      <c r="A176" s="13">
        <v>509759</v>
      </c>
      <c r="B176" s="13">
        <v>20726</v>
      </c>
      <c r="C176" s="13" t="s">
        <v>229</v>
      </c>
      <c r="D176" s="13">
        <v>10</v>
      </c>
      <c r="E176" s="14">
        <v>40323.63958333333</v>
      </c>
      <c r="F176" s="13">
        <v>1.65</v>
      </c>
      <c r="G176" s="13">
        <v>14930</v>
      </c>
      <c r="H176" s="13" t="s">
        <v>230</v>
      </c>
    </row>
    <row r="177" spans="1:8" ht="15.75" customHeight="1" x14ac:dyDescent="0.25">
      <c r="A177" s="13">
        <v>532681</v>
      </c>
      <c r="B177" s="13">
        <v>22132</v>
      </c>
      <c r="C177" s="13" t="s">
        <v>231</v>
      </c>
      <c r="D177" s="13">
        <v>1</v>
      </c>
      <c r="E177" s="14">
        <v>40496.525000000001</v>
      </c>
      <c r="F177" s="13">
        <v>0.85</v>
      </c>
      <c r="G177" s="13">
        <v>17561</v>
      </c>
      <c r="H177" s="13" t="s">
        <v>9</v>
      </c>
    </row>
    <row r="178" spans="1:8" ht="15.75" customHeight="1" x14ac:dyDescent="0.25">
      <c r="A178" s="13">
        <v>500362</v>
      </c>
      <c r="B178" s="13" t="s">
        <v>232</v>
      </c>
      <c r="C178" s="13" t="s">
        <v>233</v>
      </c>
      <c r="D178" s="13">
        <v>4</v>
      </c>
      <c r="E178" s="14">
        <v>40244.675000000003</v>
      </c>
      <c r="F178" s="13">
        <v>2.95</v>
      </c>
      <c r="G178" s="13">
        <v>17449</v>
      </c>
      <c r="H178" s="13" t="s">
        <v>9</v>
      </c>
    </row>
    <row r="179" spans="1:8" ht="15.75" customHeight="1" x14ac:dyDescent="0.25">
      <c r="A179" s="13">
        <v>531735</v>
      </c>
      <c r="B179" s="13">
        <v>22833</v>
      </c>
      <c r="C179" s="13" t="s">
        <v>234</v>
      </c>
      <c r="D179" s="13">
        <v>1</v>
      </c>
      <c r="E179" s="14">
        <v>40491.519444444442</v>
      </c>
      <c r="F179" s="13">
        <v>49.95</v>
      </c>
      <c r="G179" s="13">
        <v>17428</v>
      </c>
      <c r="H179" s="13" t="s">
        <v>9</v>
      </c>
    </row>
    <row r="180" spans="1:8" ht="15.75" customHeight="1" x14ac:dyDescent="0.25">
      <c r="A180" s="13">
        <v>521989</v>
      </c>
      <c r="B180" s="13">
        <v>22940</v>
      </c>
      <c r="C180" s="13" t="s">
        <v>235</v>
      </c>
      <c r="D180" s="13">
        <v>4</v>
      </c>
      <c r="E180" s="14">
        <v>40431.449305555558</v>
      </c>
      <c r="F180" s="13">
        <v>4.25</v>
      </c>
      <c r="G180" s="13">
        <v>12921</v>
      </c>
      <c r="H180" s="13" t="s">
        <v>9</v>
      </c>
    </row>
    <row r="181" spans="1:8" ht="15.75" customHeight="1" x14ac:dyDescent="0.25">
      <c r="A181" s="13">
        <v>534516</v>
      </c>
      <c r="B181" s="13">
        <v>22703</v>
      </c>
      <c r="C181" s="13" t="s">
        <v>236</v>
      </c>
      <c r="D181" s="13">
        <v>6</v>
      </c>
      <c r="E181" s="14">
        <v>40505.5</v>
      </c>
      <c r="F181" s="13">
        <v>2.1</v>
      </c>
      <c r="G181" s="13">
        <v>15235</v>
      </c>
      <c r="H181" s="13" t="s">
        <v>9</v>
      </c>
    </row>
    <row r="182" spans="1:8" ht="15.75" customHeight="1" x14ac:dyDescent="0.25">
      <c r="A182" s="13">
        <v>512280</v>
      </c>
      <c r="B182" s="13" t="s">
        <v>237</v>
      </c>
      <c r="C182" s="13" t="s">
        <v>238</v>
      </c>
      <c r="D182" s="13">
        <v>12</v>
      </c>
      <c r="E182" s="14">
        <v>40343.585416666669</v>
      </c>
      <c r="F182" s="13">
        <v>1.25</v>
      </c>
      <c r="G182" s="13">
        <v>14911</v>
      </c>
      <c r="H182" s="13" t="s">
        <v>11</v>
      </c>
    </row>
    <row r="183" spans="1:8" ht="15.75" customHeight="1" x14ac:dyDescent="0.25">
      <c r="A183" s="13">
        <v>500125</v>
      </c>
      <c r="B183" s="13">
        <v>21586</v>
      </c>
      <c r="C183" s="13" t="s">
        <v>239</v>
      </c>
      <c r="D183" s="13">
        <v>12</v>
      </c>
      <c r="E183" s="14">
        <v>40241.60833333333</v>
      </c>
      <c r="F183" s="13">
        <v>2.5499999999999998</v>
      </c>
      <c r="G183" s="13">
        <v>14426</v>
      </c>
      <c r="H183" s="13" t="s">
        <v>9</v>
      </c>
    </row>
    <row r="184" spans="1:8" ht="15.75" customHeight="1" x14ac:dyDescent="0.25">
      <c r="A184" s="13">
        <v>493436</v>
      </c>
      <c r="B184" s="13">
        <v>20869</v>
      </c>
      <c r="C184" s="13" t="s">
        <v>240</v>
      </c>
      <c r="D184" s="13">
        <v>240</v>
      </c>
      <c r="E184" s="14">
        <v>40182.543749999997</v>
      </c>
      <c r="F184" s="13">
        <v>0.38</v>
      </c>
      <c r="G184" s="13">
        <v>13694</v>
      </c>
      <c r="H184" s="13" t="s">
        <v>9</v>
      </c>
    </row>
    <row r="185" spans="1:8" ht="15.75" customHeight="1" x14ac:dyDescent="0.25">
      <c r="A185" s="13" t="s">
        <v>241</v>
      </c>
      <c r="B185" s="13">
        <v>37500</v>
      </c>
      <c r="C185" s="13" t="s">
        <v>242</v>
      </c>
      <c r="D185" s="13">
        <v>-4</v>
      </c>
      <c r="E185" s="14">
        <v>40385.570833333331</v>
      </c>
      <c r="F185" s="13">
        <v>9.9499999999999993</v>
      </c>
      <c r="G185" s="13">
        <v>16555</v>
      </c>
      <c r="H185" s="13" t="s">
        <v>9</v>
      </c>
    </row>
    <row r="186" spans="1:8" ht="15.75" customHeight="1" x14ac:dyDescent="0.25">
      <c r="A186" s="13">
        <v>497341</v>
      </c>
      <c r="B186" s="13">
        <v>21213</v>
      </c>
      <c r="C186" s="13" t="s">
        <v>243</v>
      </c>
      <c r="D186" s="13">
        <v>24</v>
      </c>
      <c r="E186" s="14">
        <v>40217.645833333343</v>
      </c>
      <c r="F186" s="13">
        <v>0.55000000000000004</v>
      </c>
      <c r="G186" s="13">
        <v>13819</v>
      </c>
      <c r="H186" s="13" t="s">
        <v>9</v>
      </c>
    </row>
    <row r="187" spans="1:8" ht="15.75" customHeight="1" x14ac:dyDescent="0.25">
      <c r="A187" s="13">
        <v>532305</v>
      </c>
      <c r="B187" s="13">
        <v>22956</v>
      </c>
      <c r="C187" s="13" t="s">
        <v>244</v>
      </c>
      <c r="D187" s="13">
        <v>48</v>
      </c>
      <c r="E187" s="14">
        <v>40493.599305555559</v>
      </c>
      <c r="F187" s="13">
        <v>1.85</v>
      </c>
      <c r="G187" s="13">
        <v>12356</v>
      </c>
      <c r="H187" s="13" t="s">
        <v>245</v>
      </c>
    </row>
    <row r="188" spans="1:8" ht="15.75" customHeight="1" x14ac:dyDescent="0.25">
      <c r="A188" s="13">
        <v>530163</v>
      </c>
      <c r="B188" s="13">
        <v>22665</v>
      </c>
      <c r="C188" s="13" t="s">
        <v>102</v>
      </c>
      <c r="D188" s="13">
        <v>12</v>
      </c>
      <c r="E188" s="13" t="s">
        <v>246</v>
      </c>
      <c r="F188" s="13">
        <v>2.95</v>
      </c>
      <c r="G188" s="13">
        <v>17739</v>
      </c>
      <c r="H188" s="13" t="s">
        <v>9</v>
      </c>
    </row>
    <row r="189" spans="1:8" ht="15.75" customHeight="1" x14ac:dyDescent="0.25">
      <c r="A189" s="13">
        <v>525860</v>
      </c>
      <c r="B189" s="13">
        <v>22633</v>
      </c>
      <c r="C189" s="13" t="s">
        <v>247</v>
      </c>
      <c r="D189" s="13">
        <v>12</v>
      </c>
      <c r="E189" s="14">
        <v>40458.554861111108</v>
      </c>
      <c r="F189" s="13">
        <v>2.1</v>
      </c>
      <c r="G189" s="13">
        <v>13089</v>
      </c>
      <c r="H189" s="13" t="s">
        <v>9</v>
      </c>
    </row>
    <row r="190" spans="1:8" ht="15.75" customHeight="1" x14ac:dyDescent="0.25">
      <c r="A190" s="13">
        <v>525002</v>
      </c>
      <c r="B190" s="13">
        <v>21564</v>
      </c>
      <c r="C190" s="13" t="s">
        <v>248</v>
      </c>
      <c r="D190" s="13">
        <v>6</v>
      </c>
      <c r="E190" s="14">
        <v>40454.435416666667</v>
      </c>
      <c r="F190" s="13">
        <v>2.95</v>
      </c>
      <c r="G190" s="13">
        <v>17022</v>
      </c>
      <c r="H190" s="13" t="s">
        <v>9</v>
      </c>
    </row>
    <row r="191" spans="1:8" ht="15.75" customHeight="1" x14ac:dyDescent="0.25">
      <c r="A191" s="13">
        <v>507691</v>
      </c>
      <c r="B191" s="13">
        <v>20992</v>
      </c>
      <c r="C191" s="13" t="s">
        <v>249</v>
      </c>
      <c r="D191" s="13">
        <v>4</v>
      </c>
      <c r="E191" s="14">
        <v>40309.429861111108</v>
      </c>
      <c r="F191" s="13">
        <v>0.85</v>
      </c>
      <c r="G191" s="13">
        <v>14395</v>
      </c>
      <c r="H191" s="13" t="s">
        <v>138</v>
      </c>
    </row>
    <row r="192" spans="1:8" ht="15.75" customHeight="1" x14ac:dyDescent="0.25">
      <c r="A192" s="13">
        <v>512400</v>
      </c>
      <c r="B192" s="13">
        <v>22605</v>
      </c>
      <c r="C192" s="13" t="s">
        <v>103</v>
      </c>
      <c r="D192"/>
      <c r="E192" s="14">
        <v>40344.524305555547</v>
      </c>
      <c r="F192" s="13">
        <v>12.75</v>
      </c>
      <c r="G192" s="13">
        <v>13297</v>
      </c>
      <c r="H192" s="13" t="s">
        <v>9</v>
      </c>
    </row>
    <row r="193" spans="1:8" ht="15.75" customHeight="1" x14ac:dyDescent="0.25">
      <c r="A193" s="13">
        <v>525172</v>
      </c>
      <c r="B193" s="13">
        <v>22501</v>
      </c>
      <c r="C193" s="13" t="s">
        <v>250</v>
      </c>
      <c r="D193" s="13">
        <v>2</v>
      </c>
      <c r="E193" s="14">
        <v>40455.515277777777</v>
      </c>
      <c r="F193" s="13">
        <v>9.9499999999999993</v>
      </c>
      <c r="G193" s="13">
        <v>15596</v>
      </c>
      <c r="H193" s="13" t="s">
        <v>9</v>
      </c>
    </row>
    <row r="194" spans="1:8" ht="15.75" customHeight="1" x14ac:dyDescent="0.25">
      <c r="A194" s="13">
        <v>492216</v>
      </c>
      <c r="B194" s="13">
        <v>84869</v>
      </c>
      <c r="C194" s="13" t="s">
        <v>251</v>
      </c>
      <c r="D194" s="13">
        <v>12</v>
      </c>
      <c r="E194" s="14">
        <v>40162.725694444453</v>
      </c>
      <c r="F194" s="13">
        <v>1.95</v>
      </c>
      <c r="G194" s="13">
        <v>15641</v>
      </c>
      <c r="H194" s="13" t="s">
        <v>9</v>
      </c>
    </row>
    <row r="195" spans="1:8" ht="15.75" customHeight="1" x14ac:dyDescent="0.25">
      <c r="A195" s="13">
        <v>490008</v>
      </c>
      <c r="B195" s="13">
        <v>22151</v>
      </c>
      <c r="C195" s="13" t="s">
        <v>227</v>
      </c>
      <c r="D195" s="13">
        <v>2</v>
      </c>
      <c r="E195" s="14">
        <v>40150.506944444453</v>
      </c>
      <c r="F195" s="13">
        <v>0.42</v>
      </c>
      <c r="G195" s="13">
        <v>15768</v>
      </c>
      <c r="H195" s="13" t="s">
        <v>9</v>
      </c>
    </row>
    <row r="196" spans="1:8" ht="15.75" customHeight="1" x14ac:dyDescent="0.25">
      <c r="A196" s="13" t="s">
        <v>252</v>
      </c>
      <c r="B196" s="13">
        <v>37448</v>
      </c>
      <c r="C196" s="13" t="s">
        <v>222</v>
      </c>
      <c r="D196" s="13">
        <v>24</v>
      </c>
      <c r="E196" s="14">
        <v>40150.663888888892</v>
      </c>
      <c r="F196" s="13">
        <v>1.49</v>
      </c>
      <c r="G196" s="13">
        <v>12949</v>
      </c>
      <c r="H196" s="13" t="s">
        <v>9</v>
      </c>
    </row>
    <row r="197" spans="1:8" ht="15.75" customHeight="1" x14ac:dyDescent="0.25">
      <c r="A197" s="13">
        <v>497346</v>
      </c>
      <c r="B197" s="13">
        <v>21843</v>
      </c>
      <c r="C197" s="13" t="s">
        <v>253</v>
      </c>
      <c r="D197" s="13">
        <v>3</v>
      </c>
      <c r="E197" s="14">
        <v>40217.658333333333</v>
      </c>
      <c r="F197" s="13">
        <v>10.95</v>
      </c>
      <c r="G197" s="13">
        <v>16551</v>
      </c>
      <c r="H197" s="13" t="s">
        <v>9</v>
      </c>
    </row>
    <row r="198" spans="1:8" ht="15.75" customHeight="1" x14ac:dyDescent="0.25">
      <c r="A198" s="13">
        <v>506718</v>
      </c>
      <c r="B198" s="13">
        <v>22607</v>
      </c>
      <c r="C198" s="13" t="s">
        <v>254</v>
      </c>
      <c r="D198" s="13">
        <v>2</v>
      </c>
      <c r="E198" s="14">
        <v>40302.375694444447</v>
      </c>
      <c r="F198" s="13">
        <v>8.5</v>
      </c>
      <c r="G198" s="13">
        <v>17091</v>
      </c>
      <c r="H198" s="13" t="s">
        <v>9</v>
      </c>
    </row>
    <row r="199" spans="1:8" ht="15.75" customHeight="1" x14ac:dyDescent="0.25">
      <c r="A199" s="13">
        <v>526462</v>
      </c>
      <c r="B199" s="13">
        <v>22441</v>
      </c>
      <c r="C199" s="13" t="s">
        <v>255</v>
      </c>
      <c r="D199" s="13">
        <v>3</v>
      </c>
      <c r="E199" s="14">
        <v>40462.676388888889</v>
      </c>
      <c r="F199" s="13">
        <v>2.1</v>
      </c>
      <c r="G199" s="13">
        <v>15024</v>
      </c>
      <c r="H199" s="13" t="s">
        <v>9</v>
      </c>
    </row>
    <row r="200" spans="1:8" ht="15.75" customHeight="1" x14ac:dyDescent="0.25">
      <c r="A200" s="13">
        <v>499900</v>
      </c>
      <c r="B200" s="13">
        <v>85200</v>
      </c>
      <c r="C200" s="13" t="s">
        <v>256</v>
      </c>
      <c r="D200" s="13">
        <v>12</v>
      </c>
      <c r="E200" s="14">
        <v>40240.501388888893</v>
      </c>
      <c r="F200" s="13">
        <v>1.25</v>
      </c>
      <c r="G200" s="13">
        <v>14194</v>
      </c>
      <c r="H200" s="13" t="s">
        <v>9</v>
      </c>
    </row>
    <row r="201" spans="1:8" ht="15.75" customHeight="1" x14ac:dyDescent="0.25">
      <c r="A201" s="13">
        <v>495029</v>
      </c>
      <c r="B201" s="13">
        <v>21790</v>
      </c>
      <c r="C201" s="13" t="s">
        <v>257</v>
      </c>
      <c r="D201" s="13">
        <v>3</v>
      </c>
      <c r="E201" s="14">
        <v>40198.585416666669</v>
      </c>
      <c r="F201" s="13">
        <v>0.85</v>
      </c>
      <c r="G201" s="13">
        <v>16085</v>
      </c>
      <c r="H201" s="13" t="s">
        <v>132</v>
      </c>
    </row>
    <row r="202" spans="1:8" ht="15.75" customHeight="1" x14ac:dyDescent="0.25">
      <c r="A202" s="13">
        <v>534656</v>
      </c>
      <c r="B202" s="13">
        <v>22576</v>
      </c>
      <c r="C202" s="13" t="s">
        <v>258</v>
      </c>
      <c r="D202" s="13">
        <v>4</v>
      </c>
      <c r="E202" s="14">
        <v>40505.566666666673</v>
      </c>
      <c r="F202" s="13">
        <v>0.85</v>
      </c>
      <c r="G202" s="13">
        <v>13869</v>
      </c>
      <c r="H202" s="13" t="s">
        <v>9</v>
      </c>
    </row>
    <row r="203" spans="1:8" ht="15.75" customHeight="1" x14ac:dyDescent="0.25">
      <c r="A203" s="13">
        <v>514355</v>
      </c>
      <c r="B203" s="13">
        <v>22553</v>
      </c>
      <c r="C203" s="13" t="s">
        <v>259</v>
      </c>
      <c r="D203" s="13">
        <v>10</v>
      </c>
      <c r="E203" s="14">
        <v>40360.699999999997</v>
      </c>
      <c r="F203" s="13">
        <v>1.65</v>
      </c>
      <c r="G203" s="13">
        <v>17589</v>
      </c>
      <c r="H203" s="13" t="s">
        <v>9</v>
      </c>
    </row>
    <row r="204" spans="1:8" ht="15.75" customHeight="1" x14ac:dyDescent="0.25">
      <c r="A204" s="13">
        <v>532076</v>
      </c>
      <c r="B204" s="13">
        <v>22396</v>
      </c>
      <c r="C204" s="13" t="s">
        <v>260</v>
      </c>
      <c r="D204" s="13">
        <v>1</v>
      </c>
      <c r="E204" s="14">
        <v>40492.625</v>
      </c>
      <c r="F204" s="13">
        <v>1.25</v>
      </c>
      <c r="G204" s="13">
        <v>17338</v>
      </c>
      <c r="H204" s="13" t="s">
        <v>9</v>
      </c>
    </row>
    <row r="205" spans="1:8" ht="15.75" customHeight="1" x14ac:dyDescent="0.25">
      <c r="A205" s="13">
        <v>490382</v>
      </c>
      <c r="B205" s="13">
        <v>20819</v>
      </c>
      <c r="C205" s="13" t="s">
        <v>261</v>
      </c>
      <c r="D205" s="13">
        <v>4</v>
      </c>
      <c r="E205" s="14">
        <v>40152.563888888893</v>
      </c>
      <c r="F205" s="13">
        <v>3.75</v>
      </c>
      <c r="G205" s="13">
        <v>12359</v>
      </c>
      <c r="H205" s="13" t="s">
        <v>160</v>
      </c>
    </row>
    <row r="206" spans="1:8" ht="15.75" customHeight="1" x14ac:dyDescent="0.25">
      <c r="A206" s="13">
        <v>518426</v>
      </c>
      <c r="B206" s="13">
        <v>85016</v>
      </c>
      <c r="C206" s="13" t="s">
        <v>262</v>
      </c>
      <c r="D206" s="13">
        <v>6</v>
      </c>
      <c r="E206" s="14">
        <v>40399.40625</v>
      </c>
      <c r="F206" s="13" t="s">
        <v>263</v>
      </c>
      <c r="G206" s="13">
        <v>16170</v>
      </c>
      <c r="H206" s="13" t="s">
        <v>87</v>
      </c>
    </row>
    <row r="207" spans="1:8" ht="15.75" customHeight="1" x14ac:dyDescent="0.25">
      <c r="A207" s="13">
        <v>525928</v>
      </c>
      <c r="B207" s="13">
        <v>22909</v>
      </c>
      <c r="C207" s="13" t="s">
        <v>157</v>
      </c>
      <c r="D207" s="13">
        <v>8</v>
      </c>
      <c r="E207" s="14">
        <v>40458.699999999997</v>
      </c>
      <c r="F207" s="13">
        <v>0.85</v>
      </c>
      <c r="G207" s="13">
        <v>16072</v>
      </c>
      <c r="H207" s="13" t="s">
        <v>9</v>
      </c>
    </row>
    <row r="208" spans="1:8" ht="15.75" customHeight="1" x14ac:dyDescent="0.25">
      <c r="A208" s="13">
        <v>530753</v>
      </c>
      <c r="B208" s="13" t="s">
        <v>264</v>
      </c>
      <c r="C208" s="13" t="s">
        <v>265</v>
      </c>
      <c r="D208" s="13">
        <v>8</v>
      </c>
      <c r="E208" s="14">
        <v>40486.49722222222</v>
      </c>
      <c r="F208" s="13">
        <v>3.25</v>
      </c>
      <c r="G208" s="13">
        <v>12949</v>
      </c>
      <c r="H208" s="13" t="s">
        <v>9</v>
      </c>
    </row>
    <row r="209" spans="1:8" ht="15.75" customHeight="1" x14ac:dyDescent="0.25">
      <c r="A209" s="13">
        <v>530785</v>
      </c>
      <c r="B209" s="13" t="s">
        <v>266</v>
      </c>
      <c r="C209" s="13" t="s">
        <v>267</v>
      </c>
      <c r="D209" s="13">
        <v>6</v>
      </c>
      <c r="E209" s="14">
        <v>40486.506249999999</v>
      </c>
      <c r="F209" s="13">
        <v>2.5499999999999998</v>
      </c>
      <c r="G209" s="13">
        <v>17702</v>
      </c>
      <c r="H209" s="13" t="s">
        <v>9</v>
      </c>
    </row>
    <row r="210" spans="1:8" ht="15.75" customHeight="1" x14ac:dyDescent="0.25">
      <c r="A210" s="13">
        <v>517111</v>
      </c>
      <c r="B210" s="13">
        <v>82600</v>
      </c>
      <c r="C210" s="13" t="s">
        <v>268</v>
      </c>
      <c r="D210" s="13">
        <v>12</v>
      </c>
      <c r="E210" s="14">
        <v>40385.65347222222</v>
      </c>
      <c r="F210" s="13">
        <v>2.1</v>
      </c>
      <c r="G210" s="13" t="s">
        <v>269</v>
      </c>
      <c r="H210" s="13" t="s">
        <v>9</v>
      </c>
    </row>
    <row r="211" spans="1:8" ht="15.75" customHeight="1" x14ac:dyDescent="0.25">
      <c r="A211" s="13">
        <v>521195</v>
      </c>
      <c r="B211" s="13" t="s">
        <v>270</v>
      </c>
      <c r="C211" s="13" t="s">
        <v>271</v>
      </c>
      <c r="D211" s="13">
        <v>25</v>
      </c>
      <c r="E211" s="14">
        <v>40423.720138888893</v>
      </c>
      <c r="F211" s="13">
        <v>0.42</v>
      </c>
      <c r="G211" s="13">
        <v>15424</v>
      </c>
      <c r="H211" s="13" t="s">
        <v>9</v>
      </c>
    </row>
    <row r="212" spans="1:8" ht="15.75" customHeight="1" x14ac:dyDescent="0.25">
      <c r="A212" s="13">
        <v>502922</v>
      </c>
      <c r="B212" s="13">
        <v>85119</v>
      </c>
      <c r="C212" s="13" t="s">
        <v>272</v>
      </c>
      <c r="D212" s="13">
        <v>1</v>
      </c>
      <c r="E212" s="14">
        <v>40266.586111111108</v>
      </c>
      <c r="F212" s="13">
        <v>1.69</v>
      </c>
      <c r="G212" s="13">
        <v>18041</v>
      </c>
      <c r="H212" s="13" t="s">
        <v>9</v>
      </c>
    </row>
    <row r="213" spans="1:8" ht="15.75" customHeight="1" x14ac:dyDescent="0.25">
      <c r="A213" s="13">
        <v>526749</v>
      </c>
      <c r="B213" s="13">
        <v>22406</v>
      </c>
      <c r="C213"/>
      <c r="D213" s="13">
        <v>12</v>
      </c>
      <c r="E213" s="14">
        <v>40464.407638888893</v>
      </c>
      <c r="F213" s="13">
        <v>1.25</v>
      </c>
      <c r="G213" s="13">
        <v>16643</v>
      </c>
      <c r="H213" s="13" t="s">
        <v>9</v>
      </c>
    </row>
    <row r="214" spans="1:8" ht="15.75" customHeight="1" x14ac:dyDescent="0.25">
      <c r="A214" s="13">
        <v>527053</v>
      </c>
      <c r="B214" s="13">
        <v>22588</v>
      </c>
      <c r="C214" s="13" t="s">
        <v>273</v>
      </c>
      <c r="D214" s="13">
        <v>3</v>
      </c>
      <c r="E214" s="14">
        <v>40465.545138888891</v>
      </c>
      <c r="F214" s="13">
        <v>2.5499999999999998</v>
      </c>
      <c r="G214" s="13">
        <v>14343</v>
      </c>
      <c r="H214" s="13" t="s">
        <v>132</v>
      </c>
    </row>
    <row r="215" spans="1:8" ht="15.75" customHeight="1" x14ac:dyDescent="0.25">
      <c r="A215" s="13">
        <v>537153</v>
      </c>
      <c r="B215" s="13" t="s">
        <v>274</v>
      </c>
      <c r="C215" s="13" t="s">
        <v>275</v>
      </c>
      <c r="D215" s="13">
        <v>3</v>
      </c>
      <c r="E215" s="14">
        <v>40517.543749999997</v>
      </c>
      <c r="F215" s="13">
        <v>7.95</v>
      </c>
      <c r="G215" s="13">
        <v>16718</v>
      </c>
      <c r="H215" s="13" t="s">
        <v>9</v>
      </c>
    </row>
    <row r="216" spans="1:8" ht="15.75" customHeight="1" x14ac:dyDescent="0.25">
      <c r="A216" s="13">
        <v>495158</v>
      </c>
      <c r="B216" s="13">
        <v>21908</v>
      </c>
      <c r="C216" s="13" t="s">
        <v>276</v>
      </c>
      <c r="D216" s="13">
        <v>1</v>
      </c>
      <c r="E216" s="14">
        <v>40199.525694444441</v>
      </c>
      <c r="F216" s="13">
        <v>2.1</v>
      </c>
      <c r="G216" s="13">
        <v>13527</v>
      </c>
      <c r="H216" s="13" t="s">
        <v>9</v>
      </c>
    </row>
    <row r="217" spans="1:8" ht="15.75" customHeight="1" x14ac:dyDescent="0.25">
      <c r="A217" s="13">
        <v>530085</v>
      </c>
      <c r="B217" s="13" t="s">
        <v>277</v>
      </c>
      <c r="C217" s="13" t="s">
        <v>278</v>
      </c>
      <c r="D217" s="13">
        <v>1</v>
      </c>
      <c r="E217" s="14">
        <v>40483.55972222222</v>
      </c>
      <c r="F217" s="13">
        <v>1.95</v>
      </c>
      <c r="G217" s="13">
        <v>17315</v>
      </c>
      <c r="H217" s="13" t="s">
        <v>9</v>
      </c>
    </row>
    <row r="218" spans="1:8" ht="15.75" customHeight="1" x14ac:dyDescent="0.25">
      <c r="A218" s="13">
        <v>537871</v>
      </c>
      <c r="B218" s="13">
        <v>22561</v>
      </c>
      <c r="C218" s="13" t="s">
        <v>27</v>
      </c>
      <c r="D218" s="13">
        <v>2</v>
      </c>
      <c r="E218" s="14">
        <v>40520.722222222219</v>
      </c>
      <c r="F218" s="13">
        <v>1.65</v>
      </c>
      <c r="G218" s="13">
        <v>12748</v>
      </c>
      <c r="H218" s="13" t="s">
        <v>9</v>
      </c>
    </row>
    <row r="219" spans="1:8" ht="15.75" customHeight="1" x14ac:dyDescent="0.25">
      <c r="A219" s="13">
        <v>521642</v>
      </c>
      <c r="B219" s="13">
        <v>21976</v>
      </c>
      <c r="C219" s="13" t="s">
        <v>279</v>
      </c>
      <c r="D219" s="13">
        <v>24</v>
      </c>
      <c r="E219" s="14">
        <v>40428.544444444437</v>
      </c>
      <c r="F219" s="13">
        <v>0.55000000000000004</v>
      </c>
      <c r="G219" s="13">
        <v>14911</v>
      </c>
      <c r="H219" s="13" t="s">
        <v>11</v>
      </c>
    </row>
    <row r="220" spans="1:8" ht="15.75" customHeight="1" x14ac:dyDescent="0.25">
      <c r="A220" s="13">
        <v>502724</v>
      </c>
      <c r="B220" s="13">
        <v>20685</v>
      </c>
      <c r="C220" s="13" t="s">
        <v>280</v>
      </c>
      <c r="D220" s="13">
        <v>2</v>
      </c>
      <c r="E220" s="14">
        <v>40263.476388888892</v>
      </c>
      <c r="F220" s="13">
        <v>7.49</v>
      </c>
      <c r="G220" s="13">
        <v>14110</v>
      </c>
      <c r="H220" s="13" t="s">
        <v>57</v>
      </c>
    </row>
    <row r="221" spans="1:8" ht="15.75" customHeight="1" x14ac:dyDescent="0.25">
      <c r="A221" s="13">
        <v>529156</v>
      </c>
      <c r="B221" s="13">
        <v>22143</v>
      </c>
      <c r="C221" s="13" t="s">
        <v>281</v>
      </c>
      <c r="D221" s="13">
        <v>2</v>
      </c>
      <c r="E221" s="14">
        <v>40477.699305555558</v>
      </c>
      <c r="F221" s="13">
        <v>2.1</v>
      </c>
      <c r="G221" s="13">
        <v>16549</v>
      </c>
      <c r="H221" s="13" t="s">
        <v>9</v>
      </c>
    </row>
    <row r="222" spans="1:8" ht="15.75" customHeight="1" x14ac:dyDescent="0.25">
      <c r="A222" s="13">
        <v>526906</v>
      </c>
      <c r="B222" s="13">
        <v>84199</v>
      </c>
      <c r="C222" s="13" t="s">
        <v>282</v>
      </c>
      <c r="D222" s="13">
        <v>1</v>
      </c>
      <c r="E222" s="14">
        <v>40464.640277777777</v>
      </c>
      <c r="F222" s="13">
        <v>0.21</v>
      </c>
      <c r="G222" s="13">
        <v>16120</v>
      </c>
      <c r="H222" s="13" t="s">
        <v>9</v>
      </c>
    </row>
    <row r="223" spans="1:8" ht="15.75" customHeight="1" x14ac:dyDescent="0.25">
      <c r="A223" s="13">
        <v>519610</v>
      </c>
      <c r="B223" s="13">
        <v>84077</v>
      </c>
      <c r="C223" s="13" t="s">
        <v>283</v>
      </c>
      <c r="D223" s="13" t="s">
        <v>284</v>
      </c>
      <c r="E223" s="14">
        <v>40408.70416666667</v>
      </c>
      <c r="F223" s="13">
        <v>0.21</v>
      </c>
      <c r="G223" s="13">
        <v>15494</v>
      </c>
      <c r="H223" s="13" t="s">
        <v>9</v>
      </c>
    </row>
    <row r="224" spans="1:8" ht="15.75" customHeight="1" x14ac:dyDescent="0.25">
      <c r="A224" s="13">
        <v>529842</v>
      </c>
      <c r="B224" s="13">
        <v>21169</v>
      </c>
      <c r="C224" s="13" t="s">
        <v>285</v>
      </c>
      <c r="D224" s="13">
        <v>1</v>
      </c>
      <c r="E224" s="14">
        <v>40482.536111111112</v>
      </c>
      <c r="F224" s="13">
        <v>1.69</v>
      </c>
      <c r="G224" s="13">
        <v>15038</v>
      </c>
      <c r="H224" s="13" t="s">
        <v>9</v>
      </c>
    </row>
    <row r="225" spans="1:8" ht="15.75" customHeight="1" x14ac:dyDescent="0.25">
      <c r="A225" s="13">
        <v>489916</v>
      </c>
      <c r="B225" s="13" t="s">
        <v>286</v>
      </c>
      <c r="C225" s="13" t="s">
        <v>287</v>
      </c>
      <c r="D225" s="13">
        <v>25</v>
      </c>
      <c r="E225" s="14">
        <v>40150.442361111112</v>
      </c>
      <c r="F225" s="13">
        <v>0.42</v>
      </c>
      <c r="G225" s="13">
        <v>15194</v>
      </c>
      <c r="H225" s="13" t="s">
        <v>9</v>
      </c>
    </row>
    <row r="226" spans="1:8" ht="15.75" customHeight="1" x14ac:dyDescent="0.25">
      <c r="A226" s="13">
        <v>490142</v>
      </c>
      <c r="B226" s="13">
        <v>37503</v>
      </c>
      <c r="C226" s="13" t="s">
        <v>288</v>
      </c>
      <c r="D226" s="13">
        <v>6</v>
      </c>
      <c r="E226" s="14">
        <v>40151.35833333333</v>
      </c>
      <c r="F226" s="13">
        <v>10.75</v>
      </c>
      <c r="G226" s="13">
        <v>14258</v>
      </c>
      <c r="H226" s="13" t="s">
        <v>9</v>
      </c>
    </row>
    <row r="227" spans="1:8" ht="15.75" customHeight="1" x14ac:dyDescent="0.25">
      <c r="A227" s="13">
        <v>525009</v>
      </c>
      <c r="B227" s="13">
        <v>22578</v>
      </c>
      <c r="C227" s="13" t="s">
        <v>289</v>
      </c>
      <c r="D227" s="13">
        <v>3</v>
      </c>
      <c r="E227" s="14">
        <v>40454.451388888891</v>
      </c>
      <c r="F227" s="13">
        <v>0.85</v>
      </c>
      <c r="G227" s="13">
        <v>15164</v>
      </c>
      <c r="H227" s="13" t="s">
        <v>9</v>
      </c>
    </row>
    <row r="228" spans="1:8" ht="15.75" customHeight="1" x14ac:dyDescent="0.25">
      <c r="A228" s="13">
        <v>531359</v>
      </c>
      <c r="B228" s="13">
        <v>22905</v>
      </c>
      <c r="C228" s="13" t="s">
        <v>290</v>
      </c>
      <c r="D228" s="13">
        <v>2</v>
      </c>
      <c r="E228" s="14">
        <v>40489.595138888893</v>
      </c>
      <c r="F228" s="13">
        <v>2.95</v>
      </c>
      <c r="G228" s="13">
        <v>13276</v>
      </c>
      <c r="H228" s="13" t="s">
        <v>9</v>
      </c>
    </row>
    <row r="229" spans="1:8" ht="15.75" customHeight="1" x14ac:dyDescent="0.25">
      <c r="A229" s="13">
        <v>508864</v>
      </c>
      <c r="B229" s="13">
        <v>22139</v>
      </c>
      <c r="C229" s="13" t="s">
        <v>135</v>
      </c>
      <c r="D229" s="13">
        <v>15</v>
      </c>
      <c r="E229" s="14">
        <v>40316.67291666667</v>
      </c>
      <c r="F229" s="13">
        <v>4.95</v>
      </c>
      <c r="G229" s="13">
        <v>17589</v>
      </c>
      <c r="H229" s="13" t="s">
        <v>9</v>
      </c>
    </row>
    <row r="230" spans="1:8" ht="15.75" customHeight="1" x14ac:dyDescent="0.25">
      <c r="A230" s="13">
        <v>504200</v>
      </c>
      <c r="B230" s="13" t="s">
        <v>291</v>
      </c>
      <c r="C230" s="13" t="s">
        <v>292</v>
      </c>
      <c r="D230" s="13">
        <v>3</v>
      </c>
      <c r="E230" s="14">
        <v>40280.463194444441</v>
      </c>
      <c r="F230" s="13">
        <v>5.95</v>
      </c>
      <c r="G230" s="13">
        <v>14114</v>
      </c>
      <c r="H230" s="13" t="s">
        <v>9</v>
      </c>
    </row>
    <row r="231" spans="1:8" ht="15.75" customHeight="1" x14ac:dyDescent="0.25">
      <c r="A231" s="13">
        <v>521839</v>
      </c>
      <c r="B231" s="13">
        <v>21244</v>
      </c>
      <c r="C231" s="13" t="s">
        <v>293</v>
      </c>
      <c r="D231" s="13">
        <v>8</v>
      </c>
      <c r="E231" s="14">
        <v>40430.451388888891</v>
      </c>
      <c r="F231" s="13">
        <v>1.69</v>
      </c>
      <c r="G231" s="13">
        <v>12635</v>
      </c>
    </row>
    <row r="232" spans="1:8" ht="15.75" customHeight="1" x14ac:dyDescent="0.25">
      <c r="A232" s="13">
        <v>535412</v>
      </c>
      <c r="B232" s="13">
        <v>21888</v>
      </c>
      <c r="C232" s="13" t="s">
        <v>149</v>
      </c>
      <c r="D232" s="13">
        <v>3</v>
      </c>
      <c r="E232" s="14">
        <v>40508.477777777778</v>
      </c>
      <c r="F232" s="13">
        <v>3.75</v>
      </c>
      <c r="G232" s="13">
        <v>16899</v>
      </c>
      <c r="H232" s="13" t="s">
        <v>9</v>
      </c>
    </row>
    <row r="233" spans="1:8" ht="15.75" customHeight="1" x14ac:dyDescent="0.25">
      <c r="A233" s="13">
        <v>492817</v>
      </c>
      <c r="B233" s="13">
        <v>22060</v>
      </c>
      <c r="C233" s="13" t="s">
        <v>294</v>
      </c>
      <c r="D233" s="13">
        <v>6</v>
      </c>
      <c r="E233" s="14">
        <v>40167.567361111112</v>
      </c>
      <c r="F233" s="13">
        <v>9.9499999999999993</v>
      </c>
      <c r="G233" s="13">
        <v>16593</v>
      </c>
      <c r="H233" s="13" t="s">
        <v>9</v>
      </c>
    </row>
    <row r="234" spans="1:8" ht="15.75" customHeight="1" x14ac:dyDescent="0.25">
      <c r="A234" s="13">
        <v>536573</v>
      </c>
      <c r="B234" s="13">
        <v>22178</v>
      </c>
      <c r="C234" s="13" t="s">
        <v>193</v>
      </c>
      <c r="D234" s="13">
        <v>36</v>
      </c>
      <c r="E234" s="14">
        <v>40513.65625</v>
      </c>
      <c r="F234" s="13">
        <v>1.25</v>
      </c>
      <c r="G234" s="13">
        <v>17025</v>
      </c>
      <c r="H234" s="13" t="s">
        <v>9</v>
      </c>
    </row>
    <row r="235" spans="1:8" ht="15.75" customHeight="1" x14ac:dyDescent="0.25">
      <c r="A235" s="13">
        <v>496303</v>
      </c>
      <c r="B235" s="13">
        <v>85202</v>
      </c>
      <c r="C235" s="13" t="s">
        <v>295</v>
      </c>
      <c r="D235" s="13">
        <v>3</v>
      </c>
      <c r="E235" s="14">
        <v>40209.468055555553</v>
      </c>
      <c r="F235" s="13">
        <v>0.42</v>
      </c>
      <c r="G235" s="13">
        <v>16923</v>
      </c>
      <c r="H235" s="13" t="s">
        <v>9</v>
      </c>
    </row>
    <row r="236" spans="1:8" ht="15.75" customHeight="1" x14ac:dyDescent="0.25">
      <c r="A236" s="13">
        <v>517853</v>
      </c>
      <c r="B236" s="13">
        <v>22367</v>
      </c>
      <c r="C236" s="13" t="s">
        <v>296</v>
      </c>
      <c r="D236" s="13">
        <v>16</v>
      </c>
      <c r="E236" s="14">
        <v>40392.572916666657</v>
      </c>
      <c r="F236" s="13">
        <v>1.95</v>
      </c>
      <c r="G236" s="13">
        <v>16843</v>
      </c>
      <c r="H236" s="13" t="s">
        <v>9</v>
      </c>
    </row>
    <row r="237" spans="1:8" ht="15.75" customHeight="1" x14ac:dyDescent="0.25">
      <c r="A237" s="13">
        <v>516536</v>
      </c>
      <c r="B237" s="13">
        <v>17003</v>
      </c>
      <c r="C237" s="13" t="s">
        <v>297</v>
      </c>
      <c r="D237" s="13" t="s">
        <v>298</v>
      </c>
      <c r="E237" s="14">
        <v>40380.48333333333</v>
      </c>
      <c r="F237" s="13">
        <v>0.16</v>
      </c>
      <c r="G237" s="13">
        <v>16422</v>
      </c>
      <c r="H237" s="13" t="s">
        <v>9</v>
      </c>
    </row>
    <row r="238" spans="1:8" ht="15.75" customHeight="1" x14ac:dyDescent="0.25">
      <c r="A238" s="13">
        <v>503355</v>
      </c>
      <c r="B238" s="13">
        <v>21741</v>
      </c>
      <c r="C238" s="13" t="s">
        <v>299</v>
      </c>
      <c r="D238" s="13">
        <v>12</v>
      </c>
      <c r="E238" s="14">
        <v>40268.569444444453</v>
      </c>
      <c r="F238" s="13">
        <v>2.95</v>
      </c>
      <c r="G238" s="13">
        <v>12913</v>
      </c>
      <c r="H238" s="13" t="s">
        <v>9</v>
      </c>
    </row>
    <row r="239" spans="1:8" ht="15.75" customHeight="1" x14ac:dyDescent="0.25">
      <c r="A239" s="13">
        <v>512564</v>
      </c>
      <c r="B239" s="13">
        <v>22080</v>
      </c>
      <c r="C239" s="13" t="s">
        <v>300</v>
      </c>
      <c r="D239" s="13">
        <v>1</v>
      </c>
      <c r="E239" s="14">
        <v>40345.606944444437</v>
      </c>
      <c r="F239"/>
      <c r="G239" s="13">
        <v>14375</v>
      </c>
      <c r="H239" s="13" t="s">
        <v>9</v>
      </c>
    </row>
    <row r="240" spans="1:8" ht="15.75" customHeight="1" x14ac:dyDescent="0.25">
      <c r="A240" s="13">
        <v>515533</v>
      </c>
      <c r="B240" s="13">
        <v>21624</v>
      </c>
      <c r="C240" s="13" t="s">
        <v>301</v>
      </c>
      <c r="D240" s="13">
        <v>1</v>
      </c>
      <c r="E240" s="14">
        <v>40372.505555555559</v>
      </c>
      <c r="F240" s="13">
        <v>5.95</v>
      </c>
      <c r="G240" s="13">
        <v>15719</v>
      </c>
      <c r="H240" s="13" t="s">
        <v>9</v>
      </c>
    </row>
    <row r="241" spans="1:8" ht="15.75" customHeight="1" x14ac:dyDescent="0.25">
      <c r="A241" s="13">
        <v>490063</v>
      </c>
      <c r="B241" s="13">
        <v>84937</v>
      </c>
      <c r="C241" s="13" t="s">
        <v>302</v>
      </c>
      <c r="D241" s="13">
        <v>6</v>
      </c>
      <c r="E241" s="14">
        <v>40150.575694444437</v>
      </c>
      <c r="F241" s="13">
        <v>2.1</v>
      </c>
      <c r="G241" s="13">
        <v>17271</v>
      </c>
      <c r="H241" s="13" t="s">
        <v>9</v>
      </c>
    </row>
    <row r="242" spans="1:8" ht="15.75" customHeight="1" x14ac:dyDescent="0.25">
      <c r="A242" s="13">
        <v>526905</v>
      </c>
      <c r="B242" s="13">
        <v>22583</v>
      </c>
      <c r="C242" s="13" t="s">
        <v>303</v>
      </c>
      <c r="D242" s="13">
        <v>6</v>
      </c>
      <c r="E242" s="14">
        <v>40464.636805555558</v>
      </c>
      <c r="F242" s="13">
        <v>2.5499999999999998</v>
      </c>
      <c r="G242" s="13" t="s">
        <v>304</v>
      </c>
      <c r="H242" s="13" t="s">
        <v>9</v>
      </c>
    </row>
    <row r="243" spans="1:8" ht="15.75" customHeight="1" x14ac:dyDescent="0.25">
      <c r="A243" s="13">
        <v>523122</v>
      </c>
      <c r="B243" s="13">
        <v>22384</v>
      </c>
      <c r="C243" s="13" t="s">
        <v>305</v>
      </c>
      <c r="D243" s="13">
        <v>10</v>
      </c>
      <c r="E243" s="14">
        <v>40441.54791666667</v>
      </c>
      <c r="F243" s="13">
        <v>1.65</v>
      </c>
      <c r="G243" s="13">
        <v>12993</v>
      </c>
      <c r="H243" s="13" t="s">
        <v>9</v>
      </c>
    </row>
    <row r="244" spans="1:8" ht="15.75" customHeight="1" x14ac:dyDescent="0.25">
      <c r="A244" s="13">
        <v>525857</v>
      </c>
      <c r="B244" s="13">
        <v>20770</v>
      </c>
      <c r="C244" s="13" t="s">
        <v>306</v>
      </c>
      <c r="D244" s="13">
        <v>1</v>
      </c>
      <c r="E244" s="14">
        <v>40458.54791666667</v>
      </c>
      <c r="F244" s="13">
        <v>2.5499999999999998</v>
      </c>
      <c r="G244" s="13">
        <v>17860</v>
      </c>
      <c r="H244" s="13" t="s">
        <v>9</v>
      </c>
    </row>
    <row r="245" spans="1:8" ht="15.75" customHeight="1" x14ac:dyDescent="0.25">
      <c r="A245" s="13">
        <v>528919</v>
      </c>
      <c r="B245" s="13">
        <v>22669</v>
      </c>
      <c r="C245" s="13" t="s">
        <v>307</v>
      </c>
      <c r="D245" s="13">
        <v>2</v>
      </c>
      <c r="E245" s="14">
        <v>40476.602083333331</v>
      </c>
      <c r="F245" s="13">
        <v>2.95</v>
      </c>
      <c r="G245" s="13">
        <v>16259</v>
      </c>
      <c r="H245" s="13" t="s">
        <v>9</v>
      </c>
    </row>
    <row r="246" spans="1:8" ht="15.75" customHeight="1" x14ac:dyDescent="0.25">
      <c r="A246" s="13">
        <v>510058</v>
      </c>
      <c r="B246" s="13">
        <v>22356</v>
      </c>
      <c r="C246" s="13" t="s">
        <v>308</v>
      </c>
      <c r="D246" s="13">
        <v>4</v>
      </c>
      <c r="E246" s="14">
        <v>40325.425694444442</v>
      </c>
      <c r="F246" s="13">
        <v>0.85</v>
      </c>
      <c r="G246" s="13">
        <v>14754</v>
      </c>
      <c r="H246" s="13" t="s">
        <v>9</v>
      </c>
    </row>
    <row r="247" spans="1:8" ht="15.75" customHeight="1" x14ac:dyDescent="0.25">
      <c r="A247" s="13">
        <v>523313</v>
      </c>
      <c r="B247" s="13">
        <v>22553</v>
      </c>
      <c r="C247" s="13" t="s">
        <v>259</v>
      </c>
      <c r="D247" s="13">
        <v>12</v>
      </c>
      <c r="E247" s="14">
        <v>40442.556250000001</v>
      </c>
      <c r="F247" s="13">
        <v>1.65</v>
      </c>
      <c r="G247" s="13">
        <v>14936</v>
      </c>
      <c r="H247" s="13" t="s">
        <v>230</v>
      </c>
    </row>
    <row r="248" spans="1:8" ht="15.75" customHeight="1" x14ac:dyDescent="0.25">
      <c r="A248" s="13">
        <v>515929</v>
      </c>
      <c r="B248" s="13">
        <v>22331</v>
      </c>
      <c r="C248" s="13" t="s">
        <v>309</v>
      </c>
      <c r="D248" s="13">
        <v>8</v>
      </c>
      <c r="E248" s="14">
        <v>40374.60833333333</v>
      </c>
      <c r="F248" s="13">
        <v>1.65</v>
      </c>
      <c r="G248" s="13">
        <v>14084</v>
      </c>
      <c r="H248" s="13" t="s">
        <v>9</v>
      </c>
    </row>
    <row r="249" spans="1:8" ht="15.75" customHeight="1" x14ac:dyDescent="0.25">
      <c r="A249" s="13">
        <v>509634</v>
      </c>
      <c r="B249" s="13">
        <v>22482</v>
      </c>
      <c r="C249" s="13" t="s">
        <v>310</v>
      </c>
      <c r="D249" s="13">
        <v>1</v>
      </c>
      <c r="E249" s="14">
        <v>40323.432638888888</v>
      </c>
      <c r="F249" s="13">
        <v>1.25</v>
      </c>
      <c r="G249" s="13">
        <v>13324</v>
      </c>
      <c r="H249" s="13" t="s">
        <v>9</v>
      </c>
    </row>
    <row r="250" spans="1:8" ht="15.75" customHeight="1" x14ac:dyDescent="0.25">
      <c r="A250" s="13">
        <v>529342</v>
      </c>
      <c r="B250" s="13">
        <v>22948</v>
      </c>
      <c r="C250" s="13" t="s">
        <v>155</v>
      </c>
      <c r="D250" s="13">
        <v>24</v>
      </c>
      <c r="E250" s="14">
        <v>40478.695138888892</v>
      </c>
      <c r="F250" s="13">
        <v>0.85</v>
      </c>
      <c r="G250" s="13">
        <v>18060</v>
      </c>
      <c r="H250" s="13" t="s">
        <v>9</v>
      </c>
    </row>
    <row r="251" spans="1:8" ht="15.75" customHeight="1" x14ac:dyDescent="0.25">
      <c r="A251" s="13">
        <v>513555</v>
      </c>
      <c r="B251" s="13">
        <v>22173</v>
      </c>
      <c r="C251" s="13" t="s">
        <v>311</v>
      </c>
      <c r="D251" s="13">
        <v>2</v>
      </c>
      <c r="E251" s="14">
        <v>40354.553472222222</v>
      </c>
      <c r="F251" s="13">
        <v>2.95</v>
      </c>
      <c r="G251" s="13">
        <v>13291</v>
      </c>
      <c r="H251" s="13" t="s">
        <v>9</v>
      </c>
    </row>
    <row r="252" spans="1:8" ht="15.75" customHeight="1" x14ac:dyDescent="0.25">
      <c r="A252" s="13">
        <v>510173</v>
      </c>
      <c r="B252" s="13">
        <v>22474</v>
      </c>
      <c r="C252" s="13" t="s">
        <v>312</v>
      </c>
      <c r="D252" s="13">
        <v>4</v>
      </c>
      <c r="E252" s="14">
        <v>40325.611111111109</v>
      </c>
      <c r="F252" s="13">
        <v>4.95</v>
      </c>
      <c r="G252" s="13">
        <v>18257</v>
      </c>
      <c r="H252" s="13" t="s">
        <v>9</v>
      </c>
    </row>
    <row r="253" spans="1:8" ht="15.75" customHeight="1" x14ac:dyDescent="0.25">
      <c r="A253" s="13">
        <v>521888</v>
      </c>
      <c r="B253" s="13">
        <v>21937</v>
      </c>
      <c r="C253" s="13" t="s">
        <v>313</v>
      </c>
      <c r="D253" s="13">
        <v>50</v>
      </c>
      <c r="E253" s="14">
        <v>40430.488194444442</v>
      </c>
      <c r="F253" s="13">
        <v>2.5499999999999998</v>
      </c>
      <c r="G253" s="13">
        <v>12770</v>
      </c>
      <c r="H253" s="13" t="s">
        <v>314</v>
      </c>
    </row>
    <row r="254" spans="1:8" ht="15.75" customHeight="1" x14ac:dyDescent="0.25">
      <c r="A254" s="13">
        <v>511251</v>
      </c>
      <c r="B254" s="13">
        <v>21126</v>
      </c>
      <c r="C254" s="13" t="s">
        <v>315</v>
      </c>
      <c r="D254" s="13">
        <v>1</v>
      </c>
      <c r="E254" s="14">
        <v>40336.525694444441</v>
      </c>
      <c r="F254" s="13">
        <v>1.25</v>
      </c>
      <c r="G254" s="13">
        <v>14515</v>
      </c>
      <c r="H254" s="13" t="s">
        <v>9</v>
      </c>
    </row>
    <row r="255" spans="1:8" ht="15.75" customHeight="1" x14ac:dyDescent="0.25">
      <c r="A255" s="13">
        <v>518219</v>
      </c>
      <c r="B255" s="13">
        <v>37370</v>
      </c>
      <c r="C255" s="13" t="s">
        <v>316</v>
      </c>
      <c r="D255" s="13">
        <v>12</v>
      </c>
      <c r="E255" s="14">
        <v>40395.556250000001</v>
      </c>
      <c r="F255" s="13">
        <v>1.25</v>
      </c>
      <c r="G255" s="13">
        <v>16105</v>
      </c>
      <c r="H255" s="13" t="s">
        <v>9</v>
      </c>
    </row>
    <row r="256" spans="1:8" ht="15.75" customHeight="1" x14ac:dyDescent="0.25">
      <c r="A256" s="13">
        <v>531804</v>
      </c>
      <c r="B256" s="13">
        <v>82605</v>
      </c>
      <c r="C256" s="13" t="s">
        <v>317</v>
      </c>
      <c r="D256" s="13">
        <v>2</v>
      </c>
      <c r="E256" s="14">
        <v>40491.668749999997</v>
      </c>
      <c r="F256" s="13">
        <v>2.1</v>
      </c>
      <c r="G256" s="13">
        <v>14535</v>
      </c>
      <c r="H256" s="13" t="s">
        <v>9</v>
      </c>
    </row>
    <row r="257" spans="1:8" ht="15.75" customHeight="1" x14ac:dyDescent="0.25">
      <c r="A257" s="13">
        <v>534471</v>
      </c>
      <c r="B257" s="13" t="s">
        <v>318</v>
      </c>
      <c r="C257" s="13" t="s">
        <v>319</v>
      </c>
      <c r="D257" s="13">
        <v>24</v>
      </c>
      <c r="E257" s="14">
        <v>40505.433333333327</v>
      </c>
      <c r="F257" s="13">
        <v>0.08</v>
      </c>
      <c r="G257" s="13">
        <v>17422</v>
      </c>
      <c r="H257" s="13" t="s">
        <v>9</v>
      </c>
    </row>
    <row r="258" spans="1:8" ht="15.75" customHeight="1" x14ac:dyDescent="0.25">
      <c r="A258" s="13">
        <v>499659</v>
      </c>
      <c r="B258" s="13">
        <v>21897</v>
      </c>
      <c r="C258" s="13" t="s">
        <v>320</v>
      </c>
      <c r="D258" s="13">
        <v>1</v>
      </c>
      <c r="E258" s="14">
        <v>40238.628472222219</v>
      </c>
      <c r="F258" s="13">
        <v>2.95</v>
      </c>
      <c r="G258" s="13">
        <v>16731</v>
      </c>
      <c r="H258" s="13" t="s">
        <v>9</v>
      </c>
    </row>
    <row r="259" spans="1:8" ht="15.75" customHeight="1" x14ac:dyDescent="0.25">
      <c r="A259" s="13">
        <v>494451</v>
      </c>
      <c r="B259" s="13">
        <v>21532</v>
      </c>
      <c r="C259" s="13" t="s">
        <v>321</v>
      </c>
      <c r="D259"/>
      <c r="E259" s="14">
        <v>40192.576388888891</v>
      </c>
      <c r="F259" s="13">
        <v>2.1</v>
      </c>
      <c r="G259" s="13">
        <v>14527</v>
      </c>
      <c r="H259" s="13" t="s">
        <v>9</v>
      </c>
    </row>
    <row r="260" spans="1:8" ht="15.75" customHeight="1" x14ac:dyDescent="0.25">
      <c r="A260" s="13" t="s">
        <v>322</v>
      </c>
      <c r="B260" s="13">
        <v>84676</v>
      </c>
      <c r="C260" s="13" t="s">
        <v>323</v>
      </c>
      <c r="D260" s="13">
        <v>-3</v>
      </c>
      <c r="E260" s="14">
        <v>40282.57916666667</v>
      </c>
      <c r="F260" s="13">
        <v>2.95</v>
      </c>
      <c r="G260" s="13">
        <v>13407</v>
      </c>
      <c r="H260" s="13" t="s">
        <v>9</v>
      </c>
    </row>
    <row r="261" spans="1:8" ht="15.75" customHeight="1" x14ac:dyDescent="0.25">
      <c r="A261" s="13">
        <v>525020</v>
      </c>
      <c r="B261" s="13">
        <v>22663</v>
      </c>
      <c r="C261" s="13" t="s">
        <v>324</v>
      </c>
      <c r="D261" s="13">
        <v>3</v>
      </c>
      <c r="E261" s="14">
        <v>40454.495138888888</v>
      </c>
      <c r="F261" s="13">
        <v>1.95</v>
      </c>
      <c r="G261" s="13">
        <v>13590</v>
      </c>
      <c r="H261" s="13" t="s">
        <v>9</v>
      </c>
    </row>
    <row r="262" spans="1:8" ht="15.75" customHeight="1" x14ac:dyDescent="0.25">
      <c r="A262" s="13">
        <v>528705</v>
      </c>
      <c r="B262" s="13">
        <v>21891</v>
      </c>
      <c r="C262" s="13" t="s">
        <v>325</v>
      </c>
      <c r="D262" s="13">
        <v>2</v>
      </c>
      <c r="E262" s="14">
        <v>40475.546527777777</v>
      </c>
      <c r="F262" s="13">
        <v>1.25</v>
      </c>
      <c r="G262" s="13">
        <v>13137</v>
      </c>
      <c r="H262" s="13" t="s">
        <v>9</v>
      </c>
    </row>
    <row r="263" spans="1:8" ht="15.75" customHeight="1" x14ac:dyDescent="0.25">
      <c r="A263" s="13">
        <v>529611</v>
      </c>
      <c r="B263" s="13">
        <v>22986</v>
      </c>
      <c r="C263" s="13" t="s">
        <v>326</v>
      </c>
      <c r="D263" s="13">
        <v>25</v>
      </c>
      <c r="E263" s="14">
        <v>40480.443749999999</v>
      </c>
      <c r="F263" s="13">
        <v>0.42</v>
      </c>
      <c r="G263" s="13">
        <v>17690</v>
      </c>
      <c r="H263" s="13" t="s">
        <v>9</v>
      </c>
    </row>
    <row r="264" spans="1:8" ht="15.75" customHeight="1" x14ac:dyDescent="0.25">
      <c r="A264" s="13">
        <v>522773</v>
      </c>
      <c r="B264" s="13">
        <v>22334</v>
      </c>
      <c r="C264" s="13" t="s">
        <v>327</v>
      </c>
      <c r="D264" s="13">
        <v>8</v>
      </c>
      <c r="E264" s="14">
        <v>40437.606944444437</v>
      </c>
      <c r="F264" s="13">
        <v>1.65</v>
      </c>
      <c r="G264" s="13">
        <v>12369</v>
      </c>
      <c r="H264" s="13" t="s">
        <v>328</v>
      </c>
    </row>
    <row r="265" spans="1:8" ht="15.75" customHeight="1" x14ac:dyDescent="0.25">
      <c r="A265" s="13">
        <v>503241</v>
      </c>
      <c r="B265" s="13">
        <v>22139</v>
      </c>
      <c r="C265" s="13" t="s">
        <v>135</v>
      </c>
      <c r="D265" s="13">
        <v>3</v>
      </c>
      <c r="E265" s="14">
        <v>40268.402777777781</v>
      </c>
      <c r="F265" s="13">
        <v>4.95</v>
      </c>
      <c r="G265" s="13">
        <v>14890</v>
      </c>
      <c r="H265" s="13" t="s">
        <v>9</v>
      </c>
    </row>
    <row r="266" spans="1:8" ht="15.75" customHeight="1" x14ac:dyDescent="0.25">
      <c r="A266" s="13">
        <v>496944</v>
      </c>
      <c r="B266" s="13">
        <v>20966</v>
      </c>
      <c r="C266" s="13" t="s">
        <v>329</v>
      </c>
      <c r="D266" s="13" t="s">
        <v>330</v>
      </c>
      <c r="E266" s="14">
        <v>40213.728472222218</v>
      </c>
      <c r="F266" s="13">
        <v>1.25</v>
      </c>
      <c r="G266" s="13">
        <v>14606</v>
      </c>
      <c r="H266" s="13" t="s">
        <v>9</v>
      </c>
    </row>
    <row r="267" spans="1:8" ht="15.75" customHeight="1" x14ac:dyDescent="0.25">
      <c r="A267" s="13">
        <v>511638</v>
      </c>
      <c r="B267" s="13">
        <v>21213</v>
      </c>
      <c r="C267" s="13" t="s">
        <v>243</v>
      </c>
      <c r="D267" s="13">
        <v>2</v>
      </c>
      <c r="E267" s="14">
        <v>40338.547222222223</v>
      </c>
      <c r="F267" s="13">
        <v>0.55000000000000004</v>
      </c>
      <c r="G267" s="13">
        <v>17346</v>
      </c>
      <c r="H267" s="13" t="s">
        <v>132</v>
      </c>
    </row>
    <row r="268" spans="1:8" ht="15.75" customHeight="1" x14ac:dyDescent="0.25">
      <c r="A268" s="13">
        <v>505725</v>
      </c>
      <c r="B268" s="13">
        <v>22539</v>
      </c>
      <c r="C268" s="13" t="s">
        <v>331</v>
      </c>
      <c r="D268" s="13">
        <v>1</v>
      </c>
      <c r="E268" s="14">
        <v>40293.579861111109</v>
      </c>
      <c r="F268" s="13">
        <v>0.42</v>
      </c>
      <c r="G268" s="13">
        <v>14606</v>
      </c>
      <c r="H268" s="13" t="s">
        <v>9</v>
      </c>
    </row>
    <row r="269" spans="1:8" ht="15.75" customHeight="1" x14ac:dyDescent="0.25">
      <c r="A269" s="13">
        <v>530020</v>
      </c>
      <c r="B269" s="13">
        <v>35400</v>
      </c>
      <c r="C269" s="13" t="s">
        <v>332</v>
      </c>
      <c r="D269" s="13">
        <v>1</v>
      </c>
      <c r="E269" s="14">
        <v>40483.452777777777</v>
      </c>
      <c r="F269" s="13">
        <v>8.9499999999999993</v>
      </c>
      <c r="G269" s="13">
        <v>17975</v>
      </c>
      <c r="H269" s="13" t="s">
        <v>9</v>
      </c>
    </row>
    <row r="270" spans="1:8" ht="15.75" customHeight="1" x14ac:dyDescent="0.25">
      <c r="A270" s="13">
        <v>502795</v>
      </c>
      <c r="B270" s="13">
        <v>85146</v>
      </c>
      <c r="C270" s="13" t="s">
        <v>333</v>
      </c>
      <c r="D270" s="13">
        <v>4</v>
      </c>
      <c r="E270" s="14">
        <v>40263.647222222222</v>
      </c>
      <c r="F270" s="13">
        <v>5.95</v>
      </c>
      <c r="G270" s="13">
        <v>16510</v>
      </c>
    </row>
    <row r="271" spans="1:8" ht="15.75" customHeight="1" x14ac:dyDescent="0.25">
      <c r="A271" s="13">
        <v>518663</v>
      </c>
      <c r="B271" s="13">
        <v>22667</v>
      </c>
      <c r="C271" s="13" t="s">
        <v>334</v>
      </c>
      <c r="D271" s="13" t="s">
        <v>330</v>
      </c>
      <c r="E271" s="14">
        <v>40400.602083333331</v>
      </c>
      <c r="F271" s="13">
        <v>2.95</v>
      </c>
      <c r="G271" s="13">
        <v>14044</v>
      </c>
      <c r="H271" s="13" t="s">
        <v>9</v>
      </c>
    </row>
    <row r="272" spans="1:8" ht="15.75" customHeight="1" x14ac:dyDescent="0.25">
      <c r="A272" s="13">
        <v>490101</v>
      </c>
      <c r="B272" s="13" t="s">
        <v>335</v>
      </c>
      <c r="C272" s="13" t="s">
        <v>336</v>
      </c>
      <c r="D272" s="13">
        <v>6</v>
      </c>
      <c r="E272" s="14">
        <v>40150.683333333327</v>
      </c>
      <c r="F272" s="13">
        <v>6.35</v>
      </c>
      <c r="G272" s="13">
        <v>14644</v>
      </c>
      <c r="H272" s="13" t="s">
        <v>9</v>
      </c>
    </row>
    <row r="273" spans="1:8" ht="15.75" customHeight="1" x14ac:dyDescent="0.25">
      <c r="A273" s="13">
        <v>531271</v>
      </c>
      <c r="B273" s="13">
        <v>22034</v>
      </c>
      <c r="C273" s="13" t="s">
        <v>337</v>
      </c>
      <c r="D273" s="13">
        <v>12</v>
      </c>
      <c r="E273" s="14">
        <v>40489.494444444441</v>
      </c>
      <c r="F273" s="13">
        <v>0.42</v>
      </c>
      <c r="G273" s="13">
        <v>16401</v>
      </c>
      <c r="H273" s="13" t="s">
        <v>9</v>
      </c>
    </row>
    <row r="274" spans="1:8" ht="15.75" customHeight="1" x14ac:dyDescent="0.25">
      <c r="A274" s="13">
        <v>525764</v>
      </c>
      <c r="B274" s="13">
        <v>22660</v>
      </c>
      <c r="C274" s="13" t="s">
        <v>338</v>
      </c>
      <c r="D274" s="13">
        <v>2</v>
      </c>
      <c r="E274" s="14">
        <v>40458.443749999999</v>
      </c>
      <c r="F274" s="13">
        <v>7.95</v>
      </c>
      <c r="G274" s="13">
        <v>12511</v>
      </c>
      <c r="H274" s="13" t="s">
        <v>339</v>
      </c>
    </row>
    <row r="275" spans="1:8" ht="15.75" customHeight="1" x14ac:dyDescent="0.25">
      <c r="A275" s="13">
        <v>494795</v>
      </c>
      <c r="B275" s="13">
        <v>21314</v>
      </c>
      <c r="C275" s="13" t="s">
        <v>340</v>
      </c>
      <c r="D275" s="13">
        <v>4</v>
      </c>
      <c r="E275" s="14">
        <v>40196.593055555553</v>
      </c>
      <c r="F275" s="13">
        <v>2.1</v>
      </c>
      <c r="G275" s="13">
        <v>13110</v>
      </c>
      <c r="H275" s="13" t="s">
        <v>9</v>
      </c>
    </row>
    <row r="276" spans="1:8" ht="15.75" customHeight="1" x14ac:dyDescent="0.25">
      <c r="A276" s="13">
        <v>518428</v>
      </c>
      <c r="B276" s="13">
        <v>20973</v>
      </c>
      <c r="C276" s="13" t="s">
        <v>341</v>
      </c>
      <c r="D276" s="13" t="s">
        <v>342</v>
      </c>
      <c r="E276" s="14">
        <v>40399.439583333333</v>
      </c>
      <c r="F276" s="13">
        <v>0.65</v>
      </c>
      <c r="G276" s="13">
        <v>12458</v>
      </c>
      <c r="H276" s="13" t="s">
        <v>343</v>
      </c>
    </row>
    <row r="277" spans="1:8" ht="15.75" customHeight="1" x14ac:dyDescent="0.25">
      <c r="A277" s="13">
        <v>505056</v>
      </c>
      <c r="B277" s="13">
        <v>21754</v>
      </c>
      <c r="C277" s="13" t="s">
        <v>344</v>
      </c>
      <c r="D277" s="13">
        <v>8</v>
      </c>
      <c r="E277" s="14">
        <v>40287.624305555553</v>
      </c>
      <c r="F277" s="13">
        <v>5.95</v>
      </c>
      <c r="G277" s="13">
        <v>14667</v>
      </c>
      <c r="H277" s="13" t="s">
        <v>9</v>
      </c>
    </row>
    <row r="278" spans="1:8" ht="15.75" customHeight="1" x14ac:dyDescent="0.25">
      <c r="A278" s="13">
        <v>503251</v>
      </c>
      <c r="B278" s="13">
        <v>21590</v>
      </c>
      <c r="C278" s="13" t="s">
        <v>345</v>
      </c>
      <c r="D278" s="13">
        <v>24</v>
      </c>
      <c r="E278" s="14">
        <v>40268.438888888893</v>
      </c>
      <c r="F278" s="13">
        <v>1.25</v>
      </c>
      <c r="G278" s="13">
        <v>15754</v>
      </c>
      <c r="H278" s="13" t="s">
        <v>9</v>
      </c>
    </row>
    <row r="279" spans="1:8" ht="15.75" customHeight="1" x14ac:dyDescent="0.25">
      <c r="A279" s="13">
        <v>530799</v>
      </c>
      <c r="B279" s="13">
        <v>21889</v>
      </c>
      <c r="C279" s="13" t="s">
        <v>346</v>
      </c>
      <c r="D279" s="13">
        <v>144</v>
      </c>
      <c r="E279" s="14">
        <v>40486.521527777782</v>
      </c>
      <c r="F279" s="13">
        <v>1.06</v>
      </c>
      <c r="G279" s="13">
        <v>12497</v>
      </c>
      <c r="H279" s="13" t="s">
        <v>17</v>
      </c>
    </row>
    <row r="280" spans="1:8" ht="15.75" customHeight="1" x14ac:dyDescent="0.25">
      <c r="A280" s="13">
        <v>508621</v>
      </c>
      <c r="B280" s="13">
        <v>21915</v>
      </c>
      <c r="C280" s="13" t="s">
        <v>347</v>
      </c>
      <c r="D280" s="13">
        <v>12</v>
      </c>
      <c r="E280" s="14">
        <v>40315.572916666657</v>
      </c>
      <c r="F280" s="13">
        <v>1.25</v>
      </c>
      <c r="G280" s="13">
        <v>17442</v>
      </c>
      <c r="H280" s="13" t="s">
        <v>57</v>
      </c>
    </row>
    <row r="281" spans="1:8" ht="15.75" customHeight="1" x14ac:dyDescent="0.25">
      <c r="A281" s="13">
        <v>528167</v>
      </c>
      <c r="B281" s="13">
        <v>21754</v>
      </c>
      <c r="C281" s="13" t="s">
        <v>344</v>
      </c>
      <c r="D281" s="13">
        <v>3</v>
      </c>
      <c r="E281" s="14">
        <v>40472.40902777778</v>
      </c>
      <c r="F281" s="13">
        <v>5.95</v>
      </c>
      <c r="G281" s="13">
        <v>18247</v>
      </c>
      <c r="H281" s="13" t="s">
        <v>9</v>
      </c>
    </row>
    <row r="282" spans="1:8" ht="15.75" customHeight="1" x14ac:dyDescent="0.25">
      <c r="A282" s="13">
        <v>512943</v>
      </c>
      <c r="B282" s="13" t="s">
        <v>348</v>
      </c>
      <c r="C282" s="13" t="s">
        <v>349</v>
      </c>
      <c r="D282" s="13">
        <v>12</v>
      </c>
      <c r="E282" s="14">
        <v>40349.609722222223</v>
      </c>
      <c r="F282" s="13">
        <v>0.95</v>
      </c>
      <c r="G282" s="13">
        <v>17623</v>
      </c>
      <c r="H282" s="13" t="s">
        <v>9</v>
      </c>
    </row>
    <row r="283" spans="1:8" ht="15.75" customHeight="1" x14ac:dyDescent="0.25">
      <c r="A283" s="13">
        <v>528102</v>
      </c>
      <c r="B283" s="13" t="s">
        <v>277</v>
      </c>
      <c r="C283" s="13" t="s">
        <v>278</v>
      </c>
      <c r="D283" s="13">
        <v>2</v>
      </c>
      <c r="E283" s="14">
        <v>40471.569444444453</v>
      </c>
      <c r="F283" s="13">
        <v>1.95</v>
      </c>
      <c r="G283" s="13">
        <v>15572</v>
      </c>
      <c r="H283" s="13" t="s">
        <v>9</v>
      </c>
    </row>
    <row r="284" spans="1:8" ht="15.75" customHeight="1" x14ac:dyDescent="0.25">
      <c r="A284" s="13">
        <v>526845</v>
      </c>
      <c r="B284" s="13">
        <v>82484</v>
      </c>
      <c r="C284" s="13" t="s">
        <v>25</v>
      </c>
      <c r="D284" s="13">
        <v>24</v>
      </c>
      <c r="E284" s="14">
        <v>40464.512499999997</v>
      </c>
      <c r="F284" s="13">
        <v>5.55</v>
      </c>
      <c r="G284" s="13">
        <v>17511</v>
      </c>
      <c r="H284" s="13" t="s">
        <v>9</v>
      </c>
    </row>
    <row r="285" spans="1:8" ht="15.75" customHeight="1" x14ac:dyDescent="0.25">
      <c r="A285" s="13">
        <v>529156</v>
      </c>
      <c r="B285" s="13">
        <v>21899</v>
      </c>
      <c r="C285" s="13" t="s">
        <v>350</v>
      </c>
      <c r="D285" s="13">
        <v>2</v>
      </c>
      <c r="E285" s="14">
        <v>40477.699305555558</v>
      </c>
      <c r="F285" s="13">
        <v>0.65</v>
      </c>
      <c r="G285" s="13">
        <v>16549</v>
      </c>
      <c r="H285" s="13" t="s">
        <v>9</v>
      </c>
    </row>
    <row r="286" spans="1:8" ht="15.75" customHeight="1" x14ac:dyDescent="0.25">
      <c r="A286" s="13">
        <v>491967</v>
      </c>
      <c r="B286" s="13">
        <v>22162</v>
      </c>
      <c r="C286" s="13" t="s">
        <v>351</v>
      </c>
      <c r="D286" s="13">
        <v>8</v>
      </c>
      <c r="E286" s="14">
        <v>40161.731944444437</v>
      </c>
      <c r="F286" s="13">
        <v>2.95</v>
      </c>
      <c r="G286" s="13">
        <v>17012</v>
      </c>
      <c r="H286" s="13" t="s">
        <v>9</v>
      </c>
    </row>
    <row r="287" spans="1:8" ht="15.75" customHeight="1" x14ac:dyDescent="0.25">
      <c r="A287" s="13">
        <v>495367</v>
      </c>
      <c r="B287" s="13">
        <v>22173</v>
      </c>
      <c r="C287" s="13" t="s">
        <v>311</v>
      </c>
      <c r="D287" s="13">
        <v>3</v>
      </c>
      <c r="E287" s="14">
        <v>40202.518750000003</v>
      </c>
      <c r="F287" s="13">
        <v>2.95</v>
      </c>
      <c r="G287" s="13">
        <v>14070</v>
      </c>
      <c r="H287" s="13" t="s">
        <v>9</v>
      </c>
    </row>
    <row r="288" spans="1:8" ht="15.75" customHeight="1" x14ac:dyDescent="0.25">
      <c r="A288" s="13">
        <v>535409</v>
      </c>
      <c r="B288" s="13">
        <v>22694</v>
      </c>
      <c r="C288" s="13" t="s">
        <v>352</v>
      </c>
      <c r="D288" s="13">
        <v>6</v>
      </c>
      <c r="E288" s="14">
        <v>40508.474999999999</v>
      </c>
      <c r="F288" s="13">
        <v>2.1</v>
      </c>
      <c r="G288" s="13">
        <v>14507</v>
      </c>
      <c r="H288" s="13" t="s">
        <v>9</v>
      </c>
    </row>
    <row r="289" spans="1:8" ht="15.75" customHeight="1" x14ac:dyDescent="0.25">
      <c r="A289" s="13">
        <v>517392</v>
      </c>
      <c r="B289" s="13" t="s">
        <v>353</v>
      </c>
      <c r="C289" s="13" t="s">
        <v>354</v>
      </c>
      <c r="D289" s="13">
        <v>24</v>
      </c>
      <c r="E289" s="14">
        <v>40388.40902777778</v>
      </c>
      <c r="F289" s="13">
        <v>0.85</v>
      </c>
      <c r="G289" s="13">
        <v>16510</v>
      </c>
      <c r="H289" s="13" t="s">
        <v>9</v>
      </c>
    </row>
    <row r="290" spans="1:8" ht="15.75" customHeight="1" x14ac:dyDescent="0.25">
      <c r="A290" s="13">
        <v>513763</v>
      </c>
      <c r="B290" s="13">
        <v>22524</v>
      </c>
      <c r="C290" s="13" t="s">
        <v>355</v>
      </c>
      <c r="D290" s="13">
        <v>10</v>
      </c>
      <c r="E290" s="14">
        <v>40357.54583333333</v>
      </c>
      <c r="F290" s="13">
        <v>1.25</v>
      </c>
      <c r="G290" s="13">
        <v>12784</v>
      </c>
      <c r="H290" s="13" t="s">
        <v>245</v>
      </c>
    </row>
    <row r="291" spans="1:8" ht="15.75" customHeight="1" x14ac:dyDescent="0.25">
      <c r="A291" s="13">
        <v>526504</v>
      </c>
      <c r="B291" s="13" t="s">
        <v>356</v>
      </c>
      <c r="C291" s="13" t="s">
        <v>357</v>
      </c>
      <c r="D291" s="13">
        <v>6</v>
      </c>
      <c r="E291" s="14">
        <v>40463.443055555559</v>
      </c>
      <c r="F291" s="13">
        <v>2.95</v>
      </c>
      <c r="G291" s="13">
        <v>15062</v>
      </c>
      <c r="H291" s="13" t="s">
        <v>9</v>
      </c>
    </row>
    <row r="292" spans="1:8" ht="15.75" customHeight="1" x14ac:dyDescent="0.25">
      <c r="A292" s="13">
        <v>504373</v>
      </c>
      <c r="B292" s="13" t="s">
        <v>153</v>
      </c>
      <c r="C292" s="13" t="s">
        <v>154</v>
      </c>
      <c r="D292" s="13" t="s">
        <v>358</v>
      </c>
      <c r="E292" s="14">
        <v>40281.461111111108</v>
      </c>
      <c r="F292" s="13">
        <v>2.95</v>
      </c>
      <c r="G292" s="13">
        <v>13468</v>
      </c>
      <c r="H292" s="13" t="s">
        <v>9</v>
      </c>
    </row>
    <row r="293" spans="1:8" ht="15.75" customHeight="1" x14ac:dyDescent="0.25">
      <c r="A293" s="13">
        <v>519241</v>
      </c>
      <c r="B293" s="13">
        <v>22201</v>
      </c>
      <c r="C293" s="13" t="s">
        <v>359</v>
      </c>
      <c r="D293" s="13">
        <v>1</v>
      </c>
      <c r="E293" s="14">
        <v>40405.584027777782</v>
      </c>
      <c r="F293" s="13">
        <v>4.25</v>
      </c>
      <c r="G293" s="13">
        <v>14415</v>
      </c>
      <c r="H293" s="13" t="s">
        <v>9</v>
      </c>
    </row>
    <row r="294" spans="1:8" ht="15.75" customHeight="1" x14ac:dyDescent="0.25">
      <c r="A294" s="13">
        <v>513594</v>
      </c>
      <c r="B294" s="13">
        <v>21755</v>
      </c>
      <c r="C294" s="13" t="s">
        <v>360</v>
      </c>
      <c r="D294" s="13">
        <v>1</v>
      </c>
      <c r="E294" s="14">
        <v>40356.45416666667</v>
      </c>
      <c r="F294" s="13">
        <v>5.95</v>
      </c>
      <c r="G294" s="13">
        <v>16782</v>
      </c>
      <c r="H294" s="13" t="s">
        <v>9</v>
      </c>
    </row>
    <row r="295" spans="1:8" ht="15.75" customHeight="1" x14ac:dyDescent="0.25">
      <c r="A295" s="13">
        <v>511654</v>
      </c>
      <c r="B295" s="13">
        <v>22302</v>
      </c>
      <c r="C295" s="13" t="s">
        <v>361</v>
      </c>
      <c r="D295" s="13">
        <v>6</v>
      </c>
      <c r="E295" s="14">
        <v>40338.586111111108</v>
      </c>
      <c r="F295" s="13">
        <v>2.5499999999999998</v>
      </c>
      <c r="G295" s="13">
        <v>17971</v>
      </c>
      <c r="H295" s="13" t="s">
        <v>9</v>
      </c>
    </row>
    <row r="296" spans="1:8" ht="15.75" customHeight="1" x14ac:dyDescent="0.25">
      <c r="A296" s="13">
        <v>521369</v>
      </c>
      <c r="B296" s="13" t="s">
        <v>45</v>
      </c>
      <c r="C296" s="13" t="s">
        <v>46</v>
      </c>
      <c r="D296" s="13">
        <v>6</v>
      </c>
      <c r="E296" s="14">
        <v>40426.468055555553</v>
      </c>
      <c r="F296" s="13">
        <v>2.12</v>
      </c>
      <c r="G296" s="13">
        <v>16085</v>
      </c>
      <c r="H296" s="13" t="s">
        <v>9</v>
      </c>
    </row>
    <row r="297" spans="1:8" ht="15.75" customHeight="1" x14ac:dyDescent="0.25">
      <c r="A297" s="13">
        <v>491800</v>
      </c>
      <c r="B297" s="13">
        <v>22197</v>
      </c>
      <c r="C297" s="13" t="s">
        <v>362</v>
      </c>
      <c r="D297"/>
      <c r="E297" s="14">
        <v>40161.540277777778</v>
      </c>
      <c r="F297" s="13">
        <v>0.72</v>
      </c>
      <c r="G297" s="13">
        <v>17511</v>
      </c>
      <c r="H297" s="13" t="s">
        <v>9</v>
      </c>
    </row>
    <row r="298" spans="1:8" ht="15.75" customHeight="1" x14ac:dyDescent="0.25">
      <c r="A298" s="13">
        <v>490106</v>
      </c>
      <c r="B298" s="13" t="s">
        <v>363</v>
      </c>
      <c r="C298" s="13" t="s">
        <v>364</v>
      </c>
      <c r="D298" s="13">
        <v>2</v>
      </c>
      <c r="E298" s="14">
        <v>40150.694444444453</v>
      </c>
      <c r="F298" s="13">
        <v>9.9499999999999993</v>
      </c>
      <c r="G298" s="13">
        <v>14898</v>
      </c>
      <c r="H298" s="13" t="s">
        <v>9</v>
      </c>
    </row>
    <row r="299" spans="1:8" ht="15.75" customHeight="1" x14ac:dyDescent="0.25">
      <c r="A299" s="13">
        <v>535423</v>
      </c>
      <c r="B299" s="13">
        <v>22600</v>
      </c>
      <c r="C299" s="13" t="s">
        <v>365</v>
      </c>
      <c r="D299" s="13">
        <v>20</v>
      </c>
      <c r="E299" s="14">
        <v>40508.495138888888</v>
      </c>
      <c r="F299" s="13">
        <v>0.85</v>
      </c>
      <c r="G299" s="13">
        <v>17283</v>
      </c>
      <c r="H299" s="13" t="s">
        <v>9</v>
      </c>
    </row>
    <row r="300" spans="1:8" ht="15.75" customHeight="1" x14ac:dyDescent="0.25">
      <c r="A300" s="13">
        <v>493964</v>
      </c>
      <c r="B300" s="13">
        <v>22073</v>
      </c>
      <c r="C300" s="13" t="s">
        <v>366</v>
      </c>
      <c r="D300" s="13">
        <v>4</v>
      </c>
      <c r="E300" s="14">
        <v>40186.686805555553</v>
      </c>
      <c r="F300" s="13">
        <v>3.75</v>
      </c>
      <c r="G300" s="13">
        <v>12714</v>
      </c>
      <c r="H300" s="13" t="s">
        <v>28</v>
      </c>
    </row>
    <row r="301" spans="1:8" ht="15.75" customHeight="1" x14ac:dyDescent="0.25">
      <c r="A301" s="13">
        <v>527423</v>
      </c>
      <c r="B301" s="13">
        <v>22863</v>
      </c>
      <c r="C301" s="13" t="s">
        <v>367</v>
      </c>
      <c r="D301" s="13">
        <v>6</v>
      </c>
      <c r="E301" s="14">
        <v>40468.67083333333</v>
      </c>
      <c r="F301" s="13">
        <v>2.95</v>
      </c>
      <c r="G301" s="13">
        <v>14755</v>
      </c>
      <c r="H301" s="13" t="s">
        <v>9</v>
      </c>
    </row>
    <row r="302" spans="1:8" ht="15.75" customHeight="1" x14ac:dyDescent="0.25">
      <c r="A302" s="13">
        <v>534765</v>
      </c>
      <c r="B302" s="13">
        <v>22144</v>
      </c>
      <c r="C302" s="13" t="s">
        <v>368</v>
      </c>
      <c r="D302" s="13">
        <v>3</v>
      </c>
      <c r="E302" s="14">
        <v>40506.434027777781</v>
      </c>
      <c r="F302" s="13">
        <v>2.1</v>
      </c>
      <c r="G302" s="13">
        <v>15555</v>
      </c>
      <c r="H302" s="13" t="s">
        <v>9</v>
      </c>
    </row>
    <row r="303" spans="1:8" ht="15.75" customHeight="1" x14ac:dyDescent="0.25">
      <c r="A303" s="13">
        <v>501793</v>
      </c>
      <c r="B303" s="13">
        <v>22111</v>
      </c>
      <c r="C303" s="13" t="s">
        <v>178</v>
      </c>
      <c r="D303" s="13">
        <v>3</v>
      </c>
      <c r="E303" s="14">
        <v>40256.563888888893</v>
      </c>
      <c r="F303" s="13">
        <v>4.95</v>
      </c>
      <c r="G303" s="13">
        <v>15329</v>
      </c>
      <c r="H303" s="13" t="s">
        <v>9</v>
      </c>
    </row>
    <row r="304" spans="1:8" ht="15.75" customHeight="1" x14ac:dyDescent="0.25">
      <c r="A304" s="13">
        <v>496990</v>
      </c>
      <c r="B304" s="13">
        <v>22411</v>
      </c>
      <c r="C304" s="13" t="s">
        <v>369</v>
      </c>
      <c r="D304" s="13">
        <v>100</v>
      </c>
      <c r="E304" s="14">
        <v>40214.473611111112</v>
      </c>
      <c r="F304" s="13">
        <v>1.65</v>
      </c>
      <c r="G304" s="13">
        <v>14607</v>
      </c>
      <c r="H304" s="13" t="s">
        <v>9</v>
      </c>
    </row>
    <row r="305" spans="1:8" ht="15.75" customHeight="1" x14ac:dyDescent="0.25">
      <c r="A305" s="13">
        <v>500030</v>
      </c>
      <c r="B305" s="13" t="s">
        <v>370</v>
      </c>
      <c r="C305" s="13" t="s">
        <v>371</v>
      </c>
      <c r="D305" s="13">
        <v>1</v>
      </c>
      <c r="E305" s="14">
        <v>40241.478472222218</v>
      </c>
      <c r="F305" s="13">
        <v>10.65</v>
      </c>
      <c r="G305" s="13">
        <v>14527</v>
      </c>
      <c r="H305" s="13" t="s">
        <v>9</v>
      </c>
    </row>
    <row r="306" spans="1:8" ht="15.75" customHeight="1" x14ac:dyDescent="0.25">
      <c r="A306" s="13" t="s">
        <v>372</v>
      </c>
      <c r="B306" s="13">
        <v>21346</v>
      </c>
      <c r="C306" s="13" t="s">
        <v>373</v>
      </c>
      <c r="D306" s="13">
        <v>-1</v>
      </c>
      <c r="E306" s="14">
        <v>40200.594444444447</v>
      </c>
      <c r="F306" s="13">
        <v>5.95</v>
      </c>
      <c r="G306" s="13">
        <v>17243</v>
      </c>
      <c r="H306" s="13" t="s">
        <v>9</v>
      </c>
    </row>
    <row r="307" spans="1:8" ht="15.75" customHeight="1" x14ac:dyDescent="0.25">
      <c r="A307" s="13">
        <v>529093</v>
      </c>
      <c r="B307" s="13">
        <v>82484</v>
      </c>
      <c r="C307" s="13" t="s">
        <v>25</v>
      </c>
      <c r="D307" s="13">
        <v>6</v>
      </c>
      <c r="E307" s="14">
        <v>40477.568749999999</v>
      </c>
      <c r="F307" s="13">
        <v>6.45</v>
      </c>
      <c r="G307" s="13">
        <v>14911</v>
      </c>
      <c r="H307" s="13" t="s">
        <v>11</v>
      </c>
    </row>
    <row r="308" spans="1:8" ht="15.75" customHeight="1" x14ac:dyDescent="0.25">
      <c r="A308" s="13">
        <v>524726</v>
      </c>
      <c r="B308" s="13">
        <v>85047</v>
      </c>
      <c r="C308" s="13" t="s">
        <v>374</v>
      </c>
      <c r="D308" s="13">
        <v>3</v>
      </c>
      <c r="E308" s="14">
        <v>40451.59652777778</v>
      </c>
      <c r="F308" s="13">
        <v>6.35</v>
      </c>
      <c r="G308" s="13">
        <v>15736</v>
      </c>
      <c r="H308" s="13" t="s">
        <v>9</v>
      </c>
    </row>
    <row r="309" spans="1:8" ht="15.75" customHeight="1" x14ac:dyDescent="0.25">
      <c r="A309" s="13">
        <v>492729</v>
      </c>
      <c r="B309" s="13">
        <v>21552</v>
      </c>
      <c r="C309" s="13" t="s">
        <v>375</v>
      </c>
      <c r="D309" s="13">
        <v>1</v>
      </c>
      <c r="E309" s="14">
        <v>40165.480555555558</v>
      </c>
      <c r="F309" s="13">
        <v>5.95</v>
      </c>
      <c r="G309" s="13">
        <v>15911</v>
      </c>
      <c r="H309" s="13" t="s">
        <v>9</v>
      </c>
    </row>
    <row r="310" spans="1:8" ht="15.75" customHeight="1" x14ac:dyDescent="0.25">
      <c r="A310" s="13">
        <v>525761</v>
      </c>
      <c r="B310" s="13">
        <v>22145</v>
      </c>
      <c r="C310" s="13" t="s">
        <v>376</v>
      </c>
      <c r="D310" s="13">
        <v>12</v>
      </c>
      <c r="E310" s="14">
        <v>40458.442361111112</v>
      </c>
      <c r="F310" s="13">
        <v>2.1</v>
      </c>
      <c r="G310" s="13">
        <v>16325</v>
      </c>
      <c r="H310" s="13" t="s">
        <v>9</v>
      </c>
    </row>
    <row r="311" spans="1:8" ht="15.75" customHeight="1" x14ac:dyDescent="0.25">
      <c r="A311" s="13">
        <v>528743</v>
      </c>
      <c r="B311" s="13">
        <v>82483</v>
      </c>
      <c r="C311" s="13" t="s">
        <v>377</v>
      </c>
      <c r="D311" s="13">
        <v>4</v>
      </c>
      <c r="E311" s="14">
        <v>40475.594444444447</v>
      </c>
      <c r="F311" s="13">
        <v>5.95</v>
      </c>
      <c r="G311" s="13">
        <v>17858</v>
      </c>
      <c r="H311" s="13" t="s">
        <v>9</v>
      </c>
    </row>
    <row r="312" spans="1:8" ht="15.75" customHeight="1" x14ac:dyDescent="0.25">
      <c r="A312" s="13">
        <v>511041</v>
      </c>
      <c r="B312" s="13">
        <v>20685</v>
      </c>
      <c r="C312" s="13" t="s">
        <v>280</v>
      </c>
      <c r="D312" s="13">
        <v>2</v>
      </c>
      <c r="E312" s="14">
        <v>40335.472916666673</v>
      </c>
      <c r="F312" s="13">
        <v>7.49</v>
      </c>
      <c r="G312" s="13">
        <v>12932</v>
      </c>
      <c r="H312" s="13" t="s">
        <v>9</v>
      </c>
    </row>
    <row r="313" spans="1:8" ht="15.75" customHeight="1" x14ac:dyDescent="0.25">
      <c r="A313" s="13">
        <v>518509</v>
      </c>
      <c r="B313" s="13" t="s">
        <v>378</v>
      </c>
      <c r="C313" s="13" t="s">
        <v>379</v>
      </c>
      <c r="D313" s="13">
        <v>16</v>
      </c>
      <c r="E313" s="14">
        <v>40399.61041666667</v>
      </c>
      <c r="F313" s="13">
        <v>0.42</v>
      </c>
      <c r="G313" s="13">
        <v>14498</v>
      </c>
      <c r="H313" s="13" t="s">
        <v>9</v>
      </c>
    </row>
    <row r="314" spans="1:8" ht="15.75" customHeight="1" x14ac:dyDescent="0.25">
      <c r="A314" s="13">
        <v>489866</v>
      </c>
      <c r="B314" s="13" t="s">
        <v>380</v>
      </c>
      <c r="C314" s="13" t="s">
        <v>381</v>
      </c>
      <c r="D314" s="13" t="s">
        <v>120</v>
      </c>
      <c r="E314" s="14">
        <v>40149.62777777778</v>
      </c>
      <c r="F314" s="13">
        <v>1.95</v>
      </c>
      <c r="G314" s="13">
        <v>16200</v>
      </c>
      <c r="H314" s="13" t="s">
        <v>9</v>
      </c>
    </row>
    <row r="315" spans="1:8" ht="15.75" customHeight="1" x14ac:dyDescent="0.25">
      <c r="A315" s="13">
        <v>534083</v>
      </c>
      <c r="B315" s="13">
        <v>22582</v>
      </c>
      <c r="C315" s="13" t="s">
        <v>382</v>
      </c>
      <c r="D315" s="13">
        <v>4</v>
      </c>
      <c r="E315" s="14">
        <v>40503.494444444441</v>
      </c>
      <c r="F315" s="13">
        <v>2.5499999999999998</v>
      </c>
      <c r="G315" s="13">
        <v>13668</v>
      </c>
      <c r="H315" s="13" t="s">
        <v>9</v>
      </c>
    </row>
    <row r="316" spans="1:8" ht="15.75" customHeight="1" x14ac:dyDescent="0.25">
      <c r="A316" s="13">
        <v>525856</v>
      </c>
      <c r="B316" s="13">
        <v>22726</v>
      </c>
      <c r="C316" s="13" t="s">
        <v>383</v>
      </c>
      <c r="D316" s="13">
        <v>1</v>
      </c>
      <c r="E316" s="14">
        <v>40458.545138888891</v>
      </c>
      <c r="F316" s="13">
        <v>3.75</v>
      </c>
      <c r="G316" s="13">
        <v>13569</v>
      </c>
      <c r="H316" s="13" t="s">
        <v>9</v>
      </c>
    </row>
    <row r="317" spans="1:8" ht="15.75" customHeight="1" x14ac:dyDescent="0.25">
      <c r="A317" s="13">
        <v>512177</v>
      </c>
      <c r="B317" s="13">
        <v>22492</v>
      </c>
      <c r="C317" s="13" t="s">
        <v>384</v>
      </c>
      <c r="D317" s="13">
        <v>36</v>
      </c>
      <c r="E317" s="14">
        <v>40343.500694444447</v>
      </c>
      <c r="F317" s="13">
        <v>0.65</v>
      </c>
      <c r="G317" s="13">
        <v>15150</v>
      </c>
      <c r="H317" s="13" t="s">
        <v>9</v>
      </c>
    </row>
    <row r="318" spans="1:8" ht="15.75" customHeight="1" x14ac:dyDescent="0.25">
      <c r="A318" s="13">
        <v>504340</v>
      </c>
      <c r="B318" s="13">
        <v>22217</v>
      </c>
      <c r="C318" s="13" t="s">
        <v>385</v>
      </c>
      <c r="D318" s="13">
        <v>12</v>
      </c>
      <c r="E318" s="14">
        <v>40280.701388888891</v>
      </c>
      <c r="F318" s="13">
        <v>1.25</v>
      </c>
      <c r="G318" s="13">
        <v>13564</v>
      </c>
      <c r="H318" s="13" t="s">
        <v>9</v>
      </c>
    </row>
    <row r="319" spans="1:8" ht="15.75" customHeight="1" x14ac:dyDescent="0.25">
      <c r="A319" s="13">
        <v>507390</v>
      </c>
      <c r="B319" s="13">
        <v>22358</v>
      </c>
      <c r="C319" s="13" t="s">
        <v>386</v>
      </c>
      <c r="D319" s="13">
        <v>6</v>
      </c>
      <c r="E319" s="14">
        <v>40307.512499999997</v>
      </c>
      <c r="F319" s="13">
        <v>2.95</v>
      </c>
      <c r="G319" s="13">
        <v>15498</v>
      </c>
      <c r="H319" s="13" t="s">
        <v>9</v>
      </c>
    </row>
    <row r="320" spans="1:8" ht="15.75" customHeight="1" x14ac:dyDescent="0.25">
      <c r="A320" s="13">
        <v>498705</v>
      </c>
      <c r="B320" s="13">
        <v>21843</v>
      </c>
      <c r="C320" s="13" t="s">
        <v>253</v>
      </c>
      <c r="D320" s="13">
        <v>4</v>
      </c>
      <c r="E320" s="14">
        <v>40231.530555555553</v>
      </c>
      <c r="F320" s="13">
        <v>10.95</v>
      </c>
      <c r="G320" s="13">
        <v>14680</v>
      </c>
      <c r="H320" s="13" t="s">
        <v>9</v>
      </c>
    </row>
    <row r="321" spans="1:8" ht="15.75" customHeight="1" x14ac:dyDescent="0.25">
      <c r="A321" s="13">
        <v>503543</v>
      </c>
      <c r="B321" s="13">
        <v>22147</v>
      </c>
      <c r="C321" s="13" t="s">
        <v>387</v>
      </c>
      <c r="D321" s="13">
        <v>1</v>
      </c>
      <c r="E321" s="14">
        <v>40269.599305555559</v>
      </c>
      <c r="F321" s="13">
        <v>1.45</v>
      </c>
      <c r="G321" s="13">
        <v>17993</v>
      </c>
      <c r="H321" s="13" t="s">
        <v>9</v>
      </c>
    </row>
    <row r="322" spans="1:8" ht="15.75" customHeight="1" x14ac:dyDescent="0.25">
      <c r="A322" s="13">
        <v>536088</v>
      </c>
      <c r="B322" s="13">
        <v>22602</v>
      </c>
      <c r="C322" s="13" t="s">
        <v>388</v>
      </c>
      <c r="D322" s="13">
        <v>9</v>
      </c>
      <c r="E322" s="13" t="s">
        <v>389</v>
      </c>
      <c r="F322" s="13">
        <v>0.85</v>
      </c>
      <c r="G322" s="13">
        <v>16782</v>
      </c>
      <c r="H322" s="13" t="s">
        <v>9</v>
      </c>
    </row>
    <row r="323" spans="1:8" ht="15.75" customHeight="1" x14ac:dyDescent="0.25">
      <c r="A323" s="13">
        <v>530165</v>
      </c>
      <c r="B323" s="13">
        <v>21790</v>
      </c>
      <c r="C323" s="13" t="s">
        <v>257</v>
      </c>
      <c r="D323" s="13">
        <v>12</v>
      </c>
      <c r="E323" s="14">
        <v>40484.367361111108</v>
      </c>
      <c r="F323" s="13">
        <v>0.85</v>
      </c>
      <c r="G323" s="13">
        <v>16612</v>
      </c>
      <c r="H323" s="13" t="s">
        <v>9</v>
      </c>
    </row>
    <row r="324" spans="1:8" ht="15.75" customHeight="1" x14ac:dyDescent="0.25">
      <c r="A324" s="13">
        <v>522826</v>
      </c>
      <c r="B324" s="13">
        <v>22457</v>
      </c>
      <c r="C324" s="13" t="s">
        <v>390</v>
      </c>
      <c r="D324" s="13">
        <v>6</v>
      </c>
      <c r="E324" s="14">
        <v>40438.427777777782</v>
      </c>
      <c r="F324" s="13">
        <v>2.95</v>
      </c>
      <c r="G324" s="13">
        <v>13564</v>
      </c>
      <c r="H324" s="13" t="s">
        <v>9</v>
      </c>
    </row>
    <row r="325" spans="1:8" ht="15.75" customHeight="1" x14ac:dyDescent="0.25">
      <c r="A325" s="13">
        <v>498596</v>
      </c>
      <c r="B325" s="13">
        <v>22080</v>
      </c>
      <c r="C325" s="13" t="s">
        <v>391</v>
      </c>
      <c r="D325" s="13">
        <v>10</v>
      </c>
      <c r="E325" s="14">
        <v>40230.665277777778</v>
      </c>
      <c r="F325" s="13">
        <v>1.65</v>
      </c>
      <c r="G325" s="13">
        <v>13152</v>
      </c>
      <c r="H325" s="13" t="s">
        <v>9</v>
      </c>
    </row>
    <row r="326" spans="1:8" ht="15.75" customHeight="1" x14ac:dyDescent="0.25">
      <c r="A326" s="13">
        <v>510737</v>
      </c>
      <c r="B326" s="13">
        <v>22150</v>
      </c>
      <c r="C326" s="13" t="s">
        <v>392</v>
      </c>
      <c r="D326" s="13">
        <v>6</v>
      </c>
      <c r="E326" s="14">
        <v>40332.488888888889</v>
      </c>
      <c r="F326" s="13">
        <v>1.95</v>
      </c>
      <c r="G326" s="13">
        <v>16279</v>
      </c>
      <c r="H326" s="13" t="s">
        <v>9</v>
      </c>
    </row>
    <row r="327" spans="1:8" ht="15.75" customHeight="1" x14ac:dyDescent="0.25">
      <c r="A327" s="13">
        <v>496773</v>
      </c>
      <c r="B327" s="13" t="s">
        <v>393</v>
      </c>
      <c r="C327" s="13" t="s">
        <v>394</v>
      </c>
      <c r="D327" s="13">
        <v>2</v>
      </c>
      <c r="E327" s="14">
        <v>40212.65625</v>
      </c>
      <c r="F327" s="13">
        <v>1.65</v>
      </c>
      <c r="G327" s="13">
        <v>15023</v>
      </c>
      <c r="H327" s="13" t="s">
        <v>9</v>
      </c>
    </row>
    <row r="328" spans="1:8" ht="15.75" customHeight="1" x14ac:dyDescent="0.25">
      <c r="A328" s="13">
        <v>535274</v>
      </c>
      <c r="B328" s="13">
        <v>22576</v>
      </c>
      <c r="C328" s="13" t="s">
        <v>258</v>
      </c>
      <c r="D328" s="13">
        <v>14</v>
      </c>
      <c r="E328" s="14">
        <v>40507.57708333333</v>
      </c>
      <c r="F328" s="13">
        <v>0.85</v>
      </c>
      <c r="G328" s="13">
        <v>14415</v>
      </c>
      <c r="H328" s="13" t="s">
        <v>9</v>
      </c>
    </row>
    <row r="329" spans="1:8" ht="15.75" customHeight="1" x14ac:dyDescent="0.25">
      <c r="A329" s="13">
        <v>532004</v>
      </c>
      <c r="B329" s="13" t="s">
        <v>395</v>
      </c>
      <c r="C329" s="13" t="s">
        <v>396</v>
      </c>
      <c r="D329" s="13">
        <v>2</v>
      </c>
      <c r="E329" s="14">
        <v>40492.526388888888</v>
      </c>
      <c r="F329" s="13">
        <v>3.75</v>
      </c>
      <c r="G329" s="13">
        <v>14177</v>
      </c>
      <c r="H329" s="13" t="s">
        <v>9</v>
      </c>
    </row>
    <row r="330" spans="1:8" ht="15.75" customHeight="1" x14ac:dyDescent="0.25">
      <c r="A330" s="13">
        <v>529156</v>
      </c>
      <c r="B330" s="13">
        <v>22575</v>
      </c>
      <c r="C330" s="13" t="s">
        <v>19</v>
      </c>
      <c r="D330" s="13">
        <v>1</v>
      </c>
      <c r="E330" s="14">
        <v>40477.699305555558</v>
      </c>
      <c r="F330" s="13">
        <v>1.95</v>
      </c>
      <c r="G330" s="13">
        <v>16549</v>
      </c>
      <c r="H330" s="13" t="s">
        <v>9</v>
      </c>
    </row>
    <row r="331" spans="1:8" ht="15.75" customHeight="1" x14ac:dyDescent="0.25">
      <c r="A331" s="13">
        <v>529213</v>
      </c>
      <c r="B331" s="13">
        <v>72741</v>
      </c>
      <c r="C331" s="13" t="s">
        <v>397</v>
      </c>
      <c r="D331" s="13">
        <v>9</v>
      </c>
      <c r="E331" s="14">
        <v>40478.438888888893</v>
      </c>
      <c r="F331" s="13">
        <v>1.45</v>
      </c>
      <c r="G331" s="13">
        <v>15198</v>
      </c>
      <c r="H331" s="13" t="s">
        <v>9</v>
      </c>
    </row>
    <row r="332" spans="1:8" ht="15.75" customHeight="1" x14ac:dyDescent="0.25">
      <c r="A332" s="13">
        <v>499236</v>
      </c>
      <c r="B332" s="13">
        <v>21742</v>
      </c>
      <c r="C332" s="13" t="s">
        <v>398</v>
      </c>
      <c r="D332" s="13">
        <v>1</v>
      </c>
      <c r="E332" s="14">
        <v>40234.553472222222</v>
      </c>
      <c r="F332" s="13">
        <v>5.95</v>
      </c>
      <c r="G332" s="13">
        <v>13240</v>
      </c>
      <c r="H332" s="13" t="s">
        <v>9</v>
      </c>
    </row>
    <row r="333" spans="1:8" ht="15.75" customHeight="1" x14ac:dyDescent="0.25">
      <c r="A333" s="13" t="s">
        <v>399</v>
      </c>
      <c r="B333" s="13">
        <v>84992</v>
      </c>
      <c r="C333" s="13" t="s">
        <v>400</v>
      </c>
      <c r="D333" s="13">
        <v>24</v>
      </c>
      <c r="E333" s="14">
        <v>40207.42083333333</v>
      </c>
      <c r="F333" s="13">
        <v>0.55000000000000004</v>
      </c>
      <c r="G333" s="13">
        <v>13085</v>
      </c>
      <c r="H333" s="13" t="s">
        <v>9</v>
      </c>
    </row>
    <row r="334" spans="1:8" ht="15.75" customHeight="1" x14ac:dyDescent="0.25">
      <c r="A334" s="13">
        <v>508653</v>
      </c>
      <c r="B334" s="13" t="s">
        <v>395</v>
      </c>
      <c r="C334" s="13" t="s">
        <v>401</v>
      </c>
      <c r="D334" s="13">
        <v>4</v>
      </c>
      <c r="E334" s="14">
        <v>40315.662499999999</v>
      </c>
      <c r="F334" s="13">
        <v>3.75</v>
      </c>
      <c r="G334" s="13">
        <v>17228</v>
      </c>
      <c r="H334" s="13" t="s">
        <v>9</v>
      </c>
    </row>
    <row r="335" spans="1:8" ht="15.75" customHeight="1" x14ac:dyDescent="0.25">
      <c r="A335" s="13" t="s">
        <v>402</v>
      </c>
      <c r="B335" s="13">
        <v>22352</v>
      </c>
      <c r="C335" s="13" t="s">
        <v>403</v>
      </c>
      <c r="D335" s="13">
        <v>-12</v>
      </c>
      <c r="E335" s="14">
        <v>40155.493750000001</v>
      </c>
      <c r="F335" s="13">
        <v>2.5499999999999998</v>
      </c>
      <c r="G335" s="13">
        <v>14277</v>
      </c>
      <c r="H335" s="13" t="s">
        <v>404</v>
      </c>
    </row>
    <row r="336" spans="1:8" ht="15.75" customHeight="1" x14ac:dyDescent="0.25">
      <c r="A336" s="13">
        <v>490636</v>
      </c>
      <c r="B336" s="13">
        <v>82585</v>
      </c>
      <c r="C336" s="13" t="s">
        <v>405</v>
      </c>
      <c r="D336" s="13">
        <v>4</v>
      </c>
      <c r="E336" s="14">
        <v>40154.505555555559</v>
      </c>
      <c r="F336" s="13">
        <v>1.25</v>
      </c>
      <c r="G336" s="13">
        <v>13564</v>
      </c>
      <c r="H336" s="13" t="s">
        <v>9</v>
      </c>
    </row>
    <row r="337" spans="1:8" ht="15.75" customHeight="1" x14ac:dyDescent="0.25">
      <c r="A337" s="13">
        <v>510781</v>
      </c>
      <c r="B337" s="13">
        <v>21796</v>
      </c>
      <c r="C337" s="13" t="s">
        <v>406</v>
      </c>
      <c r="D337" s="13">
        <v>1</v>
      </c>
      <c r="E337" s="14">
        <v>40332.636805555558</v>
      </c>
      <c r="F337" s="13">
        <v>12.75</v>
      </c>
      <c r="G337" s="13">
        <v>16892</v>
      </c>
      <c r="H337" s="13" t="s">
        <v>9</v>
      </c>
    </row>
    <row r="338" spans="1:8" ht="15.75" customHeight="1" x14ac:dyDescent="0.25">
      <c r="A338" s="13">
        <v>525286</v>
      </c>
      <c r="B338" s="13">
        <v>20825</v>
      </c>
      <c r="C338" s="13" t="s">
        <v>163</v>
      </c>
      <c r="D338" s="13">
        <v>288</v>
      </c>
      <c r="E338" s="14">
        <v>40456.356944444437</v>
      </c>
      <c r="F338" s="13">
        <v>3.39</v>
      </c>
      <c r="G338" s="13">
        <v>15061</v>
      </c>
      <c r="H338" s="13" t="s">
        <v>9</v>
      </c>
    </row>
    <row r="339" spans="1:8" ht="15.75" customHeight="1" x14ac:dyDescent="0.25">
      <c r="A339" s="13">
        <v>521223</v>
      </c>
      <c r="B339" s="13">
        <v>22411</v>
      </c>
      <c r="C339" s="13" t="s">
        <v>206</v>
      </c>
      <c r="D339" s="13">
        <v>10</v>
      </c>
      <c r="E339" s="14">
        <v>40424.446527777778</v>
      </c>
      <c r="F339" s="13">
        <v>1.95</v>
      </c>
      <c r="G339" s="13">
        <v>17454</v>
      </c>
      <c r="H339" s="13" t="s">
        <v>9</v>
      </c>
    </row>
    <row r="340" spans="1:8" ht="15.75" customHeight="1" x14ac:dyDescent="0.25">
      <c r="A340" s="13">
        <v>505443</v>
      </c>
      <c r="B340" s="13">
        <v>21313</v>
      </c>
      <c r="C340" s="13" t="s">
        <v>407</v>
      </c>
      <c r="D340" s="13">
        <v>12</v>
      </c>
      <c r="E340" s="14">
        <v>40290.451388888891</v>
      </c>
      <c r="F340" s="13">
        <v>0.85</v>
      </c>
      <c r="G340" s="13">
        <v>13625</v>
      </c>
      <c r="H340" s="13" t="s">
        <v>9</v>
      </c>
    </row>
    <row r="341" spans="1:8" ht="15.75" customHeight="1" x14ac:dyDescent="0.25">
      <c r="A341" s="13">
        <v>507445</v>
      </c>
      <c r="B341" s="13">
        <v>22520</v>
      </c>
      <c r="C341" s="13" t="s">
        <v>408</v>
      </c>
      <c r="D341" s="13">
        <v>12</v>
      </c>
      <c r="E341" s="14">
        <v>40308.401388888888</v>
      </c>
      <c r="F341" s="13">
        <v>0.85</v>
      </c>
      <c r="G341" s="13">
        <v>14329</v>
      </c>
      <c r="H341" s="13" t="s">
        <v>9</v>
      </c>
    </row>
    <row r="342" spans="1:8" ht="15.75" customHeight="1" x14ac:dyDescent="0.25">
      <c r="A342" s="13">
        <v>527740</v>
      </c>
      <c r="B342" s="13">
        <v>22444</v>
      </c>
      <c r="C342" s="13" t="s">
        <v>409</v>
      </c>
      <c r="D342" s="13">
        <v>24</v>
      </c>
      <c r="E342" s="14">
        <v>40469.658333333333</v>
      </c>
      <c r="F342" s="13">
        <v>1.25</v>
      </c>
      <c r="G342" s="13">
        <v>14157</v>
      </c>
      <c r="H342" s="13" t="s">
        <v>9</v>
      </c>
    </row>
    <row r="343" spans="1:8" ht="15.75" customHeight="1" x14ac:dyDescent="0.25">
      <c r="A343" s="13">
        <v>527819</v>
      </c>
      <c r="B343" s="13">
        <v>22523</v>
      </c>
      <c r="C343" s="13" t="s">
        <v>410</v>
      </c>
      <c r="D343" s="13" t="s">
        <v>330</v>
      </c>
      <c r="E343" s="14">
        <v>40470.473611111112</v>
      </c>
      <c r="F343" s="13">
        <v>0.85</v>
      </c>
      <c r="G343" s="13" t="s">
        <v>411</v>
      </c>
      <c r="H343" s="13" t="s">
        <v>9</v>
      </c>
    </row>
    <row r="344" spans="1:8" ht="15.75" customHeight="1" x14ac:dyDescent="0.25">
      <c r="A344" s="13">
        <v>524524</v>
      </c>
      <c r="B344" s="13">
        <v>22118</v>
      </c>
      <c r="C344" s="13" t="s">
        <v>101</v>
      </c>
      <c r="D344" s="13">
        <v>2</v>
      </c>
      <c r="E344" s="14">
        <v>40450.551388888889</v>
      </c>
      <c r="F344" s="13">
        <v>4.95</v>
      </c>
      <c r="G344" s="13" t="s">
        <v>412</v>
      </c>
      <c r="H344" s="13" t="s">
        <v>9</v>
      </c>
    </row>
    <row r="345" spans="1:8" ht="15.75" customHeight="1" x14ac:dyDescent="0.25">
      <c r="A345" s="13">
        <v>518665</v>
      </c>
      <c r="B345" s="13">
        <v>84950</v>
      </c>
      <c r="C345" s="13" t="s">
        <v>413</v>
      </c>
      <c r="D345" s="13">
        <v>24</v>
      </c>
      <c r="E345" s="14">
        <v>40400.613194444442</v>
      </c>
      <c r="F345" s="13">
        <v>0.85</v>
      </c>
      <c r="G345" s="13">
        <v>14478</v>
      </c>
      <c r="H345" s="13" t="s">
        <v>9</v>
      </c>
    </row>
    <row r="346" spans="1:8" ht="15.75" customHeight="1" x14ac:dyDescent="0.25">
      <c r="A346" s="13">
        <v>507129</v>
      </c>
      <c r="B346" s="13">
        <v>21034</v>
      </c>
      <c r="C346" s="13" t="s">
        <v>414</v>
      </c>
      <c r="D346" s="13">
        <v>1</v>
      </c>
      <c r="E346" s="14">
        <v>40304.510416666657</v>
      </c>
      <c r="F346" s="13">
        <v>0.95</v>
      </c>
      <c r="G346" s="13">
        <v>15860</v>
      </c>
      <c r="H346" s="13" t="s">
        <v>9</v>
      </c>
    </row>
    <row r="347" spans="1:8" ht="15.75" customHeight="1" x14ac:dyDescent="0.25">
      <c r="A347" s="13">
        <v>531374</v>
      </c>
      <c r="B347" s="13">
        <v>21559</v>
      </c>
      <c r="C347" s="13" t="s">
        <v>415</v>
      </c>
      <c r="D347" s="13">
        <v>6</v>
      </c>
      <c r="E347" s="14">
        <v>40489.659722222219</v>
      </c>
      <c r="F347" s="13">
        <v>2.5499999999999998</v>
      </c>
      <c r="G347" s="13">
        <v>13178</v>
      </c>
      <c r="H347" s="13" t="s">
        <v>9</v>
      </c>
    </row>
    <row r="348" spans="1:8" ht="15.75" customHeight="1" x14ac:dyDescent="0.25">
      <c r="A348" s="13">
        <v>532337</v>
      </c>
      <c r="B348" s="13" t="s">
        <v>153</v>
      </c>
      <c r="C348" s="13" t="s">
        <v>154</v>
      </c>
      <c r="D348" s="13">
        <v>2</v>
      </c>
      <c r="E348" s="14">
        <v>40493.65902777778</v>
      </c>
      <c r="F348" s="13">
        <v>2.95</v>
      </c>
      <c r="G348" s="13">
        <v>13263</v>
      </c>
      <c r="H348" s="13" t="s">
        <v>9</v>
      </c>
    </row>
    <row r="349" spans="1:8" ht="15.75" customHeight="1" x14ac:dyDescent="0.25">
      <c r="A349" s="13">
        <v>522334</v>
      </c>
      <c r="B349" s="13">
        <v>84975</v>
      </c>
      <c r="C349" s="13" t="s">
        <v>416</v>
      </c>
      <c r="D349" s="13">
        <v>36</v>
      </c>
      <c r="E349" s="14">
        <v>40435.404861111107</v>
      </c>
      <c r="F349" s="13">
        <v>1.69</v>
      </c>
      <c r="G349" s="13" t="s">
        <v>417</v>
      </c>
      <c r="H349" s="13" t="s">
        <v>9</v>
      </c>
    </row>
    <row r="350" spans="1:8" ht="15.75" customHeight="1" x14ac:dyDescent="0.25">
      <c r="A350" s="13">
        <v>496058</v>
      </c>
      <c r="B350" s="13">
        <v>90029</v>
      </c>
      <c r="C350" s="13" t="s">
        <v>418</v>
      </c>
      <c r="D350" s="13">
        <v>5</v>
      </c>
      <c r="E350" s="14">
        <v>40206.636805555558</v>
      </c>
      <c r="F350" s="13">
        <v>8.5</v>
      </c>
      <c r="G350" s="13">
        <v>17115</v>
      </c>
      <c r="H350" s="13" t="s">
        <v>9</v>
      </c>
    </row>
    <row r="351" spans="1:8" ht="15.75" customHeight="1" x14ac:dyDescent="0.25">
      <c r="A351" s="13">
        <v>526510</v>
      </c>
      <c r="B351" s="13">
        <v>21056</v>
      </c>
      <c r="C351" s="13" t="s">
        <v>419</v>
      </c>
      <c r="D351" s="13">
        <v>4</v>
      </c>
      <c r="E351" s="14">
        <v>40463.453472222223</v>
      </c>
      <c r="F351" s="13">
        <v>8.9499999999999993</v>
      </c>
      <c r="G351" s="13">
        <v>13299</v>
      </c>
      <c r="H351" s="13" t="s">
        <v>57</v>
      </c>
    </row>
    <row r="352" spans="1:8" ht="15.75" customHeight="1" x14ac:dyDescent="0.25">
      <c r="A352" s="13">
        <v>491068</v>
      </c>
      <c r="B352" s="13">
        <v>21755</v>
      </c>
      <c r="C352" s="13" t="s">
        <v>360</v>
      </c>
      <c r="D352" s="13">
        <v>4</v>
      </c>
      <c r="E352" s="14">
        <v>40156.512499999997</v>
      </c>
      <c r="F352" s="13">
        <v>5.95</v>
      </c>
      <c r="G352" s="13">
        <v>15768</v>
      </c>
      <c r="H352" s="13" t="s">
        <v>9</v>
      </c>
    </row>
    <row r="353" spans="1:8" ht="15.75" customHeight="1" x14ac:dyDescent="0.25">
      <c r="A353" s="13">
        <v>526236</v>
      </c>
      <c r="B353" s="13">
        <v>22068</v>
      </c>
      <c r="C353" s="13" t="s">
        <v>420</v>
      </c>
      <c r="D353" s="13">
        <v>2</v>
      </c>
      <c r="E353" s="14">
        <v>40461.672222222223</v>
      </c>
      <c r="F353" s="13">
        <v>1.65</v>
      </c>
      <c r="G353" s="13">
        <v>14723</v>
      </c>
      <c r="H353" s="13" t="s">
        <v>9</v>
      </c>
    </row>
    <row r="354" spans="1:8" ht="15.75" customHeight="1" x14ac:dyDescent="0.25">
      <c r="A354" s="13">
        <v>535946</v>
      </c>
      <c r="B354" s="13">
        <v>21484</v>
      </c>
      <c r="C354" s="13" t="s">
        <v>421</v>
      </c>
      <c r="D354" s="13">
        <v>2</v>
      </c>
      <c r="E354" s="14">
        <v>40511.495833333327</v>
      </c>
      <c r="F354" s="13">
        <v>3.45</v>
      </c>
      <c r="G354" s="13">
        <v>17345</v>
      </c>
      <c r="H354" s="13" t="s">
        <v>9</v>
      </c>
    </row>
    <row r="355" spans="1:8" ht="15.75" customHeight="1" x14ac:dyDescent="0.25">
      <c r="A355" s="13">
        <v>490609</v>
      </c>
      <c r="B355" s="13">
        <v>21479</v>
      </c>
      <c r="C355" s="13" t="s">
        <v>422</v>
      </c>
      <c r="D355" s="13">
        <v>3</v>
      </c>
      <c r="E355" s="14">
        <v>40154.48541666667</v>
      </c>
      <c r="F355" s="13">
        <v>3.75</v>
      </c>
      <c r="G355" s="13">
        <v>14037</v>
      </c>
      <c r="H355" s="13" t="s">
        <v>9</v>
      </c>
    </row>
    <row r="356" spans="1:8" ht="15.75" customHeight="1" x14ac:dyDescent="0.25">
      <c r="A356" s="13">
        <v>520561</v>
      </c>
      <c r="B356" s="13">
        <v>22625</v>
      </c>
      <c r="C356" s="13" t="s">
        <v>423</v>
      </c>
      <c r="D356" s="13">
        <v>2</v>
      </c>
      <c r="E356" s="14">
        <v>40416.698611111111</v>
      </c>
      <c r="F356" s="13">
        <v>8.5</v>
      </c>
      <c r="G356" s="13">
        <v>14769</v>
      </c>
      <c r="H356" s="13" t="s">
        <v>9</v>
      </c>
    </row>
    <row r="357" spans="1:8" ht="15.75" customHeight="1" x14ac:dyDescent="0.25">
      <c r="A357" s="13">
        <v>515150</v>
      </c>
      <c r="B357" s="13" t="s">
        <v>424</v>
      </c>
      <c r="C357" s="13" t="s">
        <v>425</v>
      </c>
      <c r="D357" s="13">
        <v>24</v>
      </c>
      <c r="E357" s="14">
        <v>40367.616666666669</v>
      </c>
      <c r="F357" s="13">
        <v>0.85</v>
      </c>
      <c r="G357" s="13">
        <v>18279</v>
      </c>
      <c r="H357" s="13" t="s">
        <v>9</v>
      </c>
    </row>
    <row r="358" spans="1:8" ht="15.75" customHeight="1" x14ac:dyDescent="0.25">
      <c r="A358" s="13">
        <v>531935</v>
      </c>
      <c r="B358" s="13">
        <v>22867</v>
      </c>
      <c r="C358" s="13" t="s">
        <v>426</v>
      </c>
      <c r="D358" s="13">
        <v>24</v>
      </c>
      <c r="E358" s="13" t="s">
        <v>427</v>
      </c>
      <c r="F358" s="13">
        <v>2.1</v>
      </c>
      <c r="G358" s="13">
        <v>15527</v>
      </c>
      <c r="H358" s="13" t="s">
        <v>9</v>
      </c>
    </row>
    <row r="359" spans="1:8" ht="15.75" customHeight="1" x14ac:dyDescent="0.25">
      <c r="A359" s="13">
        <v>535803</v>
      </c>
      <c r="B359" s="13">
        <v>22865</v>
      </c>
      <c r="C359" s="13" t="s">
        <v>428</v>
      </c>
      <c r="D359" s="13">
        <v>2</v>
      </c>
      <c r="E359" s="14">
        <v>40510.622916666667</v>
      </c>
      <c r="F359" s="13">
        <v>2.1</v>
      </c>
      <c r="G359" s="13">
        <v>14410</v>
      </c>
      <c r="H359" s="13" t="s">
        <v>9</v>
      </c>
    </row>
    <row r="360" spans="1:8" ht="15.75" customHeight="1" x14ac:dyDescent="0.25">
      <c r="A360" s="13">
        <v>494471</v>
      </c>
      <c r="B360" s="13">
        <v>21181</v>
      </c>
      <c r="C360" s="13" t="s">
        <v>429</v>
      </c>
      <c r="D360" s="13">
        <v>12</v>
      </c>
      <c r="E360" s="14">
        <v>40192.616666666669</v>
      </c>
      <c r="F360" s="13">
        <v>2.1</v>
      </c>
      <c r="G360" s="13">
        <v>13680</v>
      </c>
      <c r="H360" s="13" t="s">
        <v>9</v>
      </c>
    </row>
    <row r="361" spans="1:8" ht="15.75" customHeight="1" x14ac:dyDescent="0.25">
      <c r="A361" s="13">
        <v>529837</v>
      </c>
      <c r="B361" s="13">
        <v>22599</v>
      </c>
      <c r="C361" s="13" t="s">
        <v>430</v>
      </c>
      <c r="D361" s="13">
        <v>6</v>
      </c>
      <c r="E361" s="13" t="s">
        <v>431</v>
      </c>
      <c r="F361" s="13">
        <v>0.85</v>
      </c>
      <c r="G361" s="13">
        <v>16784</v>
      </c>
      <c r="H361" s="13" t="s">
        <v>9</v>
      </c>
    </row>
    <row r="362" spans="1:8" ht="15.75" customHeight="1" x14ac:dyDescent="0.25">
      <c r="A362" s="13">
        <v>532679</v>
      </c>
      <c r="B362" s="13">
        <v>84754</v>
      </c>
      <c r="C362" s="13" t="s">
        <v>432</v>
      </c>
      <c r="D362" s="13">
        <v>2</v>
      </c>
      <c r="E362" s="14">
        <v>40496.511805555558</v>
      </c>
      <c r="F362" s="13">
        <v>1.25</v>
      </c>
      <c r="G362" s="13">
        <v>16960</v>
      </c>
      <c r="H362" s="13" t="s">
        <v>9</v>
      </c>
    </row>
    <row r="363" spans="1:8" ht="15.75" customHeight="1" x14ac:dyDescent="0.25">
      <c r="A363" s="13">
        <v>528989</v>
      </c>
      <c r="B363" s="13">
        <v>22773</v>
      </c>
      <c r="C363" s="13" t="s">
        <v>433</v>
      </c>
      <c r="D363" s="13">
        <v>12</v>
      </c>
      <c r="E363" s="14">
        <v>40477.470138888893</v>
      </c>
      <c r="F363" s="13">
        <v>1.25</v>
      </c>
      <c r="G363" s="13">
        <v>14897</v>
      </c>
      <c r="H363" s="13" t="s">
        <v>9</v>
      </c>
    </row>
    <row r="364" spans="1:8" ht="15.75" customHeight="1" x14ac:dyDescent="0.25">
      <c r="A364" s="13">
        <v>498303</v>
      </c>
      <c r="B364" s="13">
        <v>21931</v>
      </c>
      <c r="C364" s="13" t="s">
        <v>434</v>
      </c>
      <c r="D364" s="13">
        <v>10</v>
      </c>
      <c r="E364" s="14">
        <v>40227.396527777782</v>
      </c>
      <c r="F364" s="13">
        <v>1.95</v>
      </c>
      <c r="G364" s="13">
        <v>15640</v>
      </c>
      <c r="H364" s="13" t="s">
        <v>9</v>
      </c>
    </row>
    <row r="365" spans="1:8" ht="15.75" customHeight="1" x14ac:dyDescent="0.25">
      <c r="A365" s="13">
        <v>522331</v>
      </c>
      <c r="B365" s="13">
        <v>21519</v>
      </c>
      <c r="C365" s="13" t="s">
        <v>435</v>
      </c>
      <c r="D365" s="13">
        <v>12</v>
      </c>
      <c r="E365" s="14">
        <v>40435.378472222219</v>
      </c>
      <c r="F365" s="13">
        <v>0.42</v>
      </c>
      <c r="G365" s="13">
        <v>15639</v>
      </c>
      <c r="H365" s="13" t="s">
        <v>9</v>
      </c>
    </row>
    <row r="366" spans="1:8" ht="15.75" customHeight="1" x14ac:dyDescent="0.25">
      <c r="A366" s="13">
        <v>517712</v>
      </c>
      <c r="B366" s="13" t="s">
        <v>436</v>
      </c>
      <c r="C366" s="13" t="s">
        <v>437</v>
      </c>
      <c r="D366" s="13">
        <v>6</v>
      </c>
      <c r="E366" s="14">
        <v>40391.470138888893</v>
      </c>
      <c r="F366" s="13">
        <v>4.95</v>
      </c>
      <c r="G366" s="13">
        <v>13564</v>
      </c>
      <c r="H366" s="13" t="s">
        <v>9</v>
      </c>
    </row>
    <row r="367" spans="1:8" ht="15.75" customHeight="1" x14ac:dyDescent="0.25">
      <c r="A367" s="13">
        <v>513335</v>
      </c>
      <c r="B367" s="13" t="s">
        <v>438</v>
      </c>
      <c r="C367" s="13" t="s">
        <v>439</v>
      </c>
      <c r="D367" s="13">
        <v>2</v>
      </c>
      <c r="E367" s="14">
        <v>40353.40902777778</v>
      </c>
      <c r="F367" s="13">
        <v>7.49</v>
      </c>
      <c r="G367" s="13">
        <v>17686</v>
      </c>
      <c r="H367" s="13" t="s">
        <v>9</v>
      </c>
    </row>
    <row r="368" spans="1:8" ht="15.75" customHeight="1" x14ac:dyDescent="0.25">
      <c r="A368" s="13">
        <v>515910</v>
      </c>
      <c r="B368" s="13">
        <v>22703</v>
      </c>
      <c r="C368" s="13" t="s">
        <v>236</v>
      </c>
      <c r="D368" s="13">
        <v>6</v>
      </c>
      <c r="E368" s="14">
        <v>40374.553472222222</v>
      </c>
      <c r="F368" s="13">
        <v>1.85</v>
      </c>
      <c r="G368" s="13">
        <v>14298</v>
      </c>
      <c r="H368" s="13" t="s">
        <v>9</v>
      </c>
    </row>
    <row r="369" spans="1:8" ht="15.75" customHeight="1" x14ac:dyDescent="0.25">
      <c r="A369" s="13">
        <v>529994</v>
      </c>
      <c r="B369" s="13" t="s">
        <v>440</v>
      </c>
      <c r="C369" s="13" t="s">
        <v>441</v>
      </c>
      <c r="D369" s="13">
        <v>24</v>
      </c>
      <c r="E369" s="14">
        <v>40482.68472222222</v>
      </c>
      <c r="F369" s="13">
        <v>1.25</v>
      </c>
      <c r="G369" s="13">
        <v>16984</v>
      </c>
      <c r="H369" s="13" t="s">
        <v>9</v>
      </c>
    </row>
    <row r="370" spans="1:8" ht="15.75" customHeight="1" x14ac:dyDescent="0.25">
      <c r="A370" s="13">
        <v>492445</v>
      </c>
      <c r="B370" s="13" t="s">
        <v>153</v>
      </c>
      <c r="C370" s="13" t="s">
        <v>154</v>
      </c>
      <c r="D370" s="13">
        <v>32</v>
      </c>
      <c r="E370" s="14">
        <v>40164.463194444441</v>
      </c>
      <c r="F370" s="13">
        <v>2.5499999999999998</v>
      </c>
      <c r="G370" s="13">
        <v>17230</v>
      </c>
      <c r="H370" s="13" t="s">
        <v>9</v>
      </c>
    </row>
    <row r="371" spans="1:8" ht="15.75" customHeight="1" x14ac:dyDescent="0.25">
      <c r="A371" s="13">
        <v>513568</v>
      </c>
      <c r="B371" s="13">
        <v>21928</v>
      </c>
      <c r="C371" s="13" t="s">
        <v>442</v>
      </c>
      <c r="D371" s="13">
        <v>20</v>
      </c>
      <c r="E371" s="14">
        <v>40354.599305555559</v>
      </c>
      <c r="F371" s="13">
        <v>1.95</v>
      </c>
      <c r="G371" s="13">
        <v>12921</v>
      </c>
      <c r="H371" s="13" t="s">
        <v>57</v>
      </c>
    </row>
    <row r="372" spans="1:8" ht="15.75" customHeight="1" x14ac:dyDescent="0.25">
      <c r="A372" s="13">
        <v>534238</v>
      </c>
      <c r="B372" s="13">
        <v>22154</v>
      </c>
      <c r="C372" s="13" t="s">
        <v>443</v>
      </c>
      <c r="D372" s="13">
        <v>48</v>
      </c>
      <c r="E372" s="14">
        <v>40504.445138888892</v>
      </c>
      <c r="F372" s="13">
        <v>0.42</v>
      </c>
      <c r="G372" s="13">
        <v>17730</v>
      </c>
      <c r="H372" s="13" t="s">
        <v>9</v>
      </c>
    </row>
    <row r="373" spans="1:8" ht="15.75" customHeight="1" x14ac:dyDescent="0.25">
      <c r="A373" s="13">
        <v>524268</v>
      </c>
      <c r="B373" s="13">
        <v>21754</v>
      </c>
      <c r="C373" s="13" t="s">
        <v>344</v>
      </c>
      <c r="D373" s="13">
        <v>9</v>
      </c>
      <c r="E373" s="14">
        <v>40449.490972222222</v>
      </c>
      <c r="F373" s="13">
        <v>5.95</v>
      </c>
      <c r="G373" s="13">
        <v>17975</v>
      </c>
      <c r="H373" s="13" t="s">
        <v>9</v>
      </c>
    </row>
    <row r="374" spans="1:8" ht="15.75" customHeight="1" x14ac:dyDescent="0.25">
      <c r="A374" s="13">
        <v>533838</v>
      </c>
      <c r="B374" s="13">
        <v>22739</v>
      </c>
      <c r="C374" s="13" t="s">
        <v>444</v>
      </c>
      <c r="D374" s="13">
        <v>10</v>
      </c>
      <c r="E374" s="14">
        <v>40501.456250000003</v>
      </c>
      <c r="F374" s="13">
        <v>1.65</v>
      </c>
      <c r="G374" s="13">
        <v>13662</v>
      </c>
      <c r="H374" s="13" t="s">
        <v>9</v>
      </c>
    </row>
    <row r="375" spans="1:8" ht="15.75" customHeight="1" x14ac:dyDescent="0.25">
      <c r="A375" s="13">
        <v>515420</v>
      </c>
      <c r="B375" s="13" t="s">
        <v>445</v>
      </c>
      <c r="C375" s="13" t="s">
        <v>446</v>
      </c>
      <c r="D375" s="13">
        <v>3</v>
      </c>
      <c r="E375" s="14">
        <v>40371.552083333343</v>
      </c>
      <c r="F375" s="13">
        <v>0.65</v>
      </c>
      <c r="G375" s="13">
        <v>17365</v>
      </c>
      <c r="H375" s="13" t="s">
        <v>9</v>
      </c>
    </row>
    <row r="376" spans="1:8" ht="15.75" customHeight="1" x14ac:dyDescent="0.25">
      <c r="A376" s="13">
        <v>531010</v>
      </c>
      <c r="B376" s="13">
        <v>21282</v>
      </c>
      <c r="C376" s="13" t="s">
        <v>447</v>
      </c>
      <c r="D376" s="13">
        <v>24</v>
      </c>
      <c r="E376" s="14">
        <v>40487.487500000003</v>
      </c>
      <c r="F376" s="13">
        <v>3.75</v>
      </c>
      <c r="G376" s="13">
        <v>12406</v>
      </c>
      <c r="H376" s="13" t="s">
        <v>114</v>
      </c>
    </row>
    <row r="377" spans="1:8" ht="15.75" customHeight="1" x14ac:dyDescent="0.25">
      <c r="A377" s="13">
        <v>535349</v>
      </c>
      <c r="B377" s="13">
        <v>22030</v>
      </c>
      <c r="C377" s="13" t="s">
        <v>448</v>
      </c>
      <c r="D377" s="13">
        <v>12</v>
      </c>
      <c r="E377" s="14">
        <v>40507.702777777777</v>
      </c>
      <c r="F377" s="13">
        <v>0.42</v>
      </c>
      <c r="G377" s="13">
        <v>18245</v>
      </c>
      <c r="H377" s="13" t="s">
        <v>9</v>
      </c>
    </row>
    <row r="378" spans="1:8" ht="15.75" customHeight="1" x14ac:dyDescent="0.25">
      <c r="A378" s="13">
        <v>521205</v>
      </c>
      <c r="B378" s="13">
        <v>21988</v>
      </c>
      <c r="C378" s="13" t="s">
        <v>449</v>
      </c>
      <c r="D378" s="13">
        <v>1</v>
      </c>
      <c r="E378" s="14">
        <v>40423.765277777777</v>
      </c>
      <c r="F378" s="13">
        <v>0.85</v>
      </c>
      <c r="G378" s="13">
        <v>17324</v>
      </c>
      <c r="H378" s="13" t="s">
        <v>9</v>
      </c>
    </row>
    <row r="379" spans="1:8" ht="15.75" customHeight="1" x14ac:dyDescent="0.25">
      <c r="A379" s="13">
        <v>516950</v>
      </c>
      <c r="B379" s="13">
        <v>22149</v>
      </c>
      <c r="C379" s="13" t="s">
        <v>450</v>
      </c>
      <c r="D379" s="13">
        <v>2</v>
      </c>
      <c r="E379" s="14">
        <v>40384.651388888888</v>
      </c>
      <c r="F379" s="13">
        <v>2.1</v>
      </c>
      <c r="G379" s="13">
        <v>13276</v>
      </c>
      <c r="H379" s="13" t="s">
        <v>9</v>
      </c>
    </row>
    <row r="380" spans="1:8" ht="15.75" customHeight="1" x14ac:dyDescent="0.25">
      <c r="A380" s="13">
        <v>528648</v>
      </c>
      <c r="B380" s="13">
        <v>22417</v>
      </c>
      <c r="C380" s="13" t="s">
        <v>451</v>
      </c>
      <c r="D380" s="13">
        <v>1</v>
      </c>
      <c r="E380" s="14">
        <v>40475.527083333327</v>
      </c>
      <c r="F380" s="13">
        <v>0.55000000000000004</v>
      </c>
      <c r="G380" s="13">
        <v>16445</v>
      </c>
      <c r="H380" s="13" t="s">
        <v>9</v>
      </c>
    </row>
    <row r="381" spans="1:8" ht="15.75" customHeight="1" x14ac:dyDescent="0.25">
      <c r="A381" s="13">
        <v>507179</v>
      </c>
      <c r="B381" s="13">
        <v>22328</v>
      </c>
      <c r="C381" s="13" t="s">
        <v>452</v>
      </c>
      <c r="D381" s="13">
        <v>96</v>
      </c>
      <c r="E381" s="14">
        <v>40304.64166666667</v>
      </c>
      <c r="F381" s="13">
        <v>2.5499999999999998</v>
      </c>
      <c r="G381" s="13">
        <v>14646</v>
      </c>
      <c r="H381" s="13" t="s">
        <v>116</v>
      </c>
    </row>
    <row r="382" spans="1:8" ht="15.75" customHeight="1" x14ac:dyDescent="0.25">
      <c r="A382" s="13">
        <v>520716</v>
      </c>
      <c r="B382" s="13">
        <v>21737</v>
      </c>
      <c r="C382" s="13" t="s">
        <v>453</v>
      </c>
      <c r="D382" s="13">
        <v>1</v>
      </c>
      <c r="E382" s="14">
        <v>40419.585416666669</v>
      </c>
      <c r="F382" s="13">
        <v>19.95</v>
      </c>
      <c r="G382" s="13">
        <v>15722</v>
      </c>
      <c r="H382" s="13" t="s">
        <v>9</v>
      </c>
    </row>
    <row r="383" spans="1:8" ht="15.75" customHeight="1" x14ac:dyDescent="0.25">
      <c r="A383" s="13">
        <v>505845</v>
      </c>
      <c r="B383" s="13">
        <v>22072</v>
      </c>
      <c r="C383" s="13" t="s">
        <v>454</v>
      </c>
      <c r="D383" s="13">
        <v>4</v>
      </c>
      <c r="E383" s="14">
        <v>40294.501388888893</v>
      </c>
      <c r="F383" s="13">
        <v>3.75</v>
      </c>
      <c r="G383" s="13">
        <v>16756</v>
      </c>
      <c r="H383" s="13" t="s">
        <v>9</v>
      </c>
    </row>
    <row r="384" spans="1:8" ht="15.75" customHeight="1" x14ac:dyDescent="0.25">
      <c r="A384" s="13">
        <v>511522</v>
      </c>
      <c r="B384" s="13">
        <v>21155</v>
      </c>
      <c r="C384" s="13" t="s">
        <v>455</v>
      </c>
      <c r="D384" s="13">
        <v>4</v>
      </c>
      <c r="E384" s="14">
        <v>40337.699305555558</v>
      </c>
      <c r="F384" s="13">
        <v>2.1</v>
      </c>
      <c r="G384" s="13">
        <v>16072</v>
      </c>
      <c r="H384" s="13" t="s">
        <v>9</v>
      </c>
    </row>
    <row r="385" spans="1:8" ht="15.75" customHeight="1" x14ac:dyDescent="0.25">
      <c r="A385" s="13">
        <v>532016</v>
      </c>
      <c r="B385" s="13">
        <v>22112</v>
      </c>
      <c r="C385" s="13" t="s">
        <v>199</v>
      </c>
      <c r="D385" s="13">
        <v>1</v>
      </c>
      <c r="E385" s="14">
        <v>40492.537499999999</v>
      </c>
      <c r="F385" s="13">
        <v>4.95</v>
      </c>
      <c r="G385" s="13" t="s">
        <v>456</v>
      </c>
      <c r="H385" s="13" t="s">
        <v>9</v>
      </c>
    </row>
    <row r="386" spans="1:8" ht="15.75" customHeight="1" x14ac:dyDescent="0.25">
      <c r="A386" s="13">
        <v>515906</v>
      </c>
      <c r="B386" s="13">
        <v>21016</v>
      </c>
      <c r="C386" s="13" t="s">
        <v>457</v>
      </c>
      <c r="D386" s="13">
        <v>3</v>
      </c>
      <c r="E386" s="14">
        <v>40374.540972222218</v>
      </c>
      <c r="F386" s="13">
        <v>0.85</v>
      </c>
      <c r="G386" s="13">
        <v>12748</v>
      </c>
      <c r="H386" s="13" t="s">
        <v>9</v>
      </c>
    </row>
    <row r="387" spans="1:8" ht="15.75" customHeight="1" x14ac:dyDescent="0.25">
      <c r="A387" s="13">
        <v>513543</v>
      </c>
      <c r="B387" s="13">
        <v>21929</v>
      </c>
      <c r="C387" s="13" t="s">
        <v>458</v>
      </c>
      <c r="D387" s="13">
        <v>10</v>
      </c>
      <c r="E387" s="14">
        <v>40354.503472222219</v>
      </c>
      <c r="F387" s="13">
        <v>1.95</v>
      </c>
      <c r="G387" s="13">
        <v>14648</v>
      </c>
      <c r="H387" s="13" t="s">
        <v>9</v>
      </c>
    </row>
    <row r="388" spans="1:8" ht="15.75" customHeight="1" x14ac:dyDescent="0.25">
      <c r="A388" s="13">
        <v>502280</v>
      </c>
      <c r="B388" s="13" t="s">
        <v>459</v>
      </c>
      <c r="C388" s="13" t="s">
        <v>460</v>
      </c>
      <c r="D388" s="13">
        <v>12</v>
      </c>
      <c r="E388" s="14">
        <v>40260.697916666657</v>
      </c>
      <c r="F388" s="13">
        <v>1.55</v>
      </c>
      <c r="G388" s="13">
        <v>14156</v>
      </c>
      <c r="H388" s="13" t="s">
        <v>11</v>
      </c>
    </row>
    <row r="389" spans="1:8" ht="15.75" customHeight="1" x14ac:dyDescent="0.25">
      <c r="A389" s="13">
        <v>520084</v>
      </c>
      <c r="B389" s="13">
        <v>22644</v>
      </c>
      <c r="C389" s="13" t="s">
        <v>461</v>
      </c>
      <c r="D389" s="13">
        <v>12</v>
      </c>
      <c r="E389" s="14">
        <v>40414.447916666657</v>
      </c>
      <c r="F389" s="13">
        <v>1.45</v>
      </c>
      <c r="G389" s="13">
        <v>12915</v>
      </c>
      <c r="H389" s="13" t="s">
        <v>9</v>
      </c>
    </row>
    <row r="390" spans="1:8" ht="15.75" customHeight="1" x14ac:dyDescent="0.25">
      <c r="A390" s="13">
        <v>494644</v>
      </c>
      <c r="B390" s="13">
        <v>21381</v>
      </c>
      <c r="C390" s="13" t="s">
        <v>462</v>
      </c>
      <c r="D390" s="13">
        <v>2</v>
      </c>
      <c r="E390" s="14">
        <v>40195.508333333331</v>
      </c>
      <c r="F390" s="13">
        <v>1.69</v>
      </c>
      <c r="G390" s="13">
        <v>16595</v>
      </c>
      <c r="H390" s="13" t="s">
        <v>9</v>
      </c>
    </row>
    <row r="391" spans="1:8" ht="15.75" customHeight="1" x14ac:dyDescent="0.25">
      <c r="A391" s="13">
        <v>498238</v>
      </c>
      <c r="B391" s="13">
        <v>21232</v>
      </c>
      <c r="C391" s="13" t="s">
        <v>463</v>
      </c>
      <c r="D391" s="13">
        <v>4</v>
      </c>
      <c r="E391" s="14">
        <v>40226.607638888891</v>
      </c>
      <c r="F391" s="13" t="s">
        <v>42</v>
      </c>
      <c r="G391" s="13">
        <v>15768</v>
      </c>
      <c r="H391" s="13" t="s">
        <v>9</v>
      </c>
    </row>
    <row r="392" spans="1:8" ht="15.75" customHeight="1" x14ac:dyDescent="0.25">
      <c r="A392" s="13">
        <v>501718</v>
      </c>
      <c r="B392" s="13">
        <v>22224</v>
      </c>
      <c r="C392" s="13" t="s">
        <v>464</v>
      </c>
      <c r="D392" s="13">
        <v>6</v>
      </c>
      <c r="E392" s="14">
        <v>40256.444444444453</v>
      </c>
      <c r="F392" s="13">
        <v>2.95</v>
      </c>
      <c r="G392" s="13">
        <v>15325</v>
      </c>
      <c r="H392" s="13" t="s">
        <v>9</v>
      </c>
    </row>
    <row r="393" spans="1:8" ht="15.75" customHeight="1" x14ac:dyDescent="0.25">
      <c r="A393" s="13">
        <v>502758</v>
      </c>
      <c r="B393" s="13">
        <v>21928</v>
      </c>
      <c r="C393" s="13" t="s">
        <v>442</v>
      </c>
      <c r="D393" s="13">
        <v>100</v>
      </c>
      <c r="E393" s="14">
        <v>40263.572916666657</v>
      </c>
      <c r="F393" s="13">
        <v>1.65</v>
      </c>
      <c r="G393" s="13">
        <v>14646</v>
      </c>
      <c r="H393" s="13" t="s">
        <v>116</v>
      </c>
    </row>
    <row r="394" spans="1:8" ht="15.75" customHeight="1" x14ac:dyDescent="0.25">
      <c r="A394" s="13">
        <v>534822</v>
      </c>
      <c r="B394" s="13">
        <v>21591</v>
      </c>
      <c r="C394" s="13" t="s">
        <v>465</v>
      </c>
      <c r="D394" s="13">
        <v>2</v>
      </c>
      <c r="E394" s="14">
        <v>40506.537499999999</v>
      </c>
      <c r="F394" s="13">
        <v>1.25</v>
      </c>
      <c r="G394" s="13">
        <v>12970</v>
      </c>
      <c r="H394" s="13" t="s">
        <v>9</v>
      </c>
    </row>
    <row r="395" spans="1:8" ht="15.75" customHeight="1" x14ac:dyDescent="0.25">
      <c r="A395" s="13">
        <v>537773</v>
      </c>
      <c r="B395" s="13">
        <v>20764</v>
      </c>
      <c r="C395" s="13" t="s">
        <v>466</v>
      </c>
      <c r="D395" s="13">
        <v>1</v>
      </c>
      <c r="E395" s="14">
        <v>40520.525000000001</v>
      </c>
      <c r="F395" s="13">
        <v>3.75</v>
      </c>
      <c r="G395" s="13">
        <v>16016</v>
      </c>
      <c r="H395" s="13" t="s">
        <v>132</v>
      </c>
    </row>
    <row r="396" spans="1:8" ht="15.75" customHeight="1" x14ac:dyDescent="0.25">
      <c r="A396" s="13">
        <v>491113</v>
      </c>
      <c r="B396" s="13">
        <v>21068</v>
      </c>
      <c r="C396" s="13" t="s">
        <v>467</v>
      </c>
      <c r="D396" s="13">
        <v>2</v>
      </c>
      <c r="E396" s="14">
        <v>40156.616666666669</v>
      </c>
      <c r="F396" s="13">
        <v>1.25</v>
      </c>
      <c r="G396" s="13">
        <v>14505</v>
      </c>
      <c r="H396" s="13" t="s">
        <v>9</v>
      </c>
    </row>
    <row r="397" spans="1:8" ht="15.75" customHeight="1" x14ac:dyDescent="0.25">
      <c r="A397" s="13">
        <v>504139</v>
      </c>
      <c r="B397" s="13">
        <v>21976</v>
      </c>
      <c r="C397" s="13" t="s">
        <v>279</v>
      </c>
      <c r="D397" s="13">
        <v>3</v>
      </c>
      <c r="E397" s="14">
        <v>40279.525694444441</v>
      </c>
      <c r="F397" s="13">
        <v>0.55000000000000004</v>
      </c>
      <c r="G397" s="13">
        <v>17769</v>
      </c>
      <c r="H397" s="13" t="s">
        <v>9</v>
      </c>
    </row>
    <row r="398" spans="1:8" ht="15.75" customHeight="1" x14ac:dyDescent="0.25">
      <c r="A398" s="13">
        <v>494473</v>
      </c>
      <c r="B398" s="13">
        <v>21697</v>
      </c>
      <c r="C398" s="13" t="s">
        <v>468</v>
      </c>
      <c r="D398" s="13">
        <v>12</v>
      </c>
      <c r="E398" s="14">
        <v>40192.620138888888</v>
      </c>
      <c r="F398" s="13">
        <v>1.69</v>
      </c>
      <c r="G398" s="13">
        <v>17508</v>
      </c>
      <c r="H398" s="13" t="s">
        <v>339</v>
      </c>
    </row>
    <row r="399" spans="1:8" ht="15.75" customHeight="1" x14ac:dyDescent="0.25">
      <c r="A399" s="13">
        <v>535465</v>
      </c>
      <c r="B399" s="13">
        <v>22866</v>
      </c>
      <c r="C399" s="13" t="s">
        <v>469</v>
      </c>
      <c r="D399" s="13">
        <v>1</v>
      </c>
      <c r="E399" s="14">
        <v>40508.556944444441</v>
      </c>
      <c r="F399" s="13">
        <v>2.1</v>
      </c>
      <c r="G399" s="13">
        <v>16254</v>
      </c>
      <c r="H399" s="13" t="s">
        <v>9</v>
      </c>
    </row>
    <row r="400" spans="1:8" ht="15.75" customHeight="1" x14ac:dyDescent="0.25">
      <c r="A400" s="13">
        <v>506572</v>
      </c>
      <c r="B400" s="13" t="s">
        <v>353</v>
      </c>
      <c r="C400" s="13" t="s">
        <v>354</v>
      </c>
      <c r="D400" s="13">
        <v>4</v>
      </c>
      <c r="E400" s="14">
        <v>40298.548611111109</v>
      </c>
      <c r="F400" s="13">
        <v>0.85</v>
      </c>
      <c r="G400" s="13">
        <v>16374</v>
      </c>
      <c r="H400" s="13" t="s">
        <v>9</v>
      </c>
    </row>
    <row r="401" spans="1:8" ht="15.75" customHeight="1" x14ac:dyDescent="0.25">
      <c r="A401" s="13">
        <v>535748</v>
      </c>
      <c r="B401" s="13">
        <v>90096</v>
      </c>
      <c r="C401" s="13" t="s">
        <v>470</v>
      </c>
      <c r="D401" s="13">
        <v>1</v>
      </c>
      <c r="E401" s="14">
        <v>40510.556250000001</v>
      </c>
      <c r="F401" s="13">
        <v>2.5499999999999998</v>
      </c>
      <c r="G401" s="13">
        <v>14508</v>
      </c>
      <c r="H401" s="13" t="s">
        <v>9</v>
      </c>
    </row>
    <row r="402" spans="1:8" ht="15.75" customHeight="1" x14ac:dyDescent="0.25">
      <c r="A402" s="13">
        <v>506262</v>
      </c>
      <c r="B402" s="13">
        <v>22444</v>
      </c>
      <c r="C402"/>
      <c r="D402" s="13">
        <v>24</v>
      </c>
      <c r="E402" s="14">
        <v>40296.614583333343</v>
      </c>
      <c r="F402" s="13">
        <v>1.25</v>
      </c>
      <c r="G402" s="13">
        <v>12839</v>
      </c>
      <c r="H402" s="13" t="s">
        <v>9</v>
      </c>
    </row>
    <row r="403" spans="1:8" ht="15.75" customHeight="1" x14ac:dyDescent="0.25">
      <c r="A403" s="13">
        <v>497808</v>
      </c>
      <c r="B403" s="13">
        <v>84212</v>
      </c>
      <c r="C403" s="13" t="s">
        <v>471</v>
      </c>
      <c r="D403" s="13">
        <v>60</v>
      </c>
      <c r="E403" s="14">
        <v>40221.604861111111</v>
      </c>
      <c r="F403" s="13">
        <v>0.65</v>
      </c>
      <c r="G403" s="13">
        <v>17226</v>
      </c>
      <c r="H403" s="13" t="s">
        <v>9</v>
      </c>
    </row>
    <row r="404" spans="1:8" ht="15.75" customHeight="1" x14ac:dyDescent="0.25">
      <c r="A404" s="13">
        <v>514344</v>
      </c>
      <c r="B404" s="13">
        <v>79000</v>
      </c>
      <c r="C404" s="13" t="s">
        <v>472</v>
      </c>
      <c r="D404" s="13">
        <v>24</v>
      </c>
      <c r="E404" s="14">
        <v>40360.630555555559</v>
      </c>
      <c r="F404" s="13">
        <v>0.85</v>
      </c>
      <c r="G404" s="13">
        <v>14540</v>
      </c>
      <c r="H404" s="13" t="s">
        <v>9</v>
      </c>
    </row>
    <row r="405" spans="1:8" ht="15.75" customHeight="1" x14ac:dyDescent="0.25">
      <c r="A405" s="13">
        <v>513335</v>
      </c>
      <c r="B405" s="13">
        <v>22061</v>
      </c>
      <c r="C405" s="13" t="s">
        <v>473</v>
      </c>
      <c r="D405" s="13">
        <v>4</v>
      </c>
      <c r="E405" s="14">
        <v>40353.40902777778</v>
      </c>
      <c r="F405" s="13">
        <v>9.9499999999999993</v>
      </c>
      <c r="G405" s="13">
        <v>17686</v>
      </c>
      <c r="H405" s="13" t="s">
        <v>9</v>
      </c>
    </row>
    <row r="406" spans="1:8" ht="15.75" customHeight="1" x14ac:dyDescent="0.25">
      <c r="A406" s="13">
        <v>534109</v>
      </c>
      <c r="B406" s="13">
        <v>21934</v>
      </c>
      <c r="C406" s="13" t="s">
        <v>474</v>
      </c>
      <c r="D406" s="13">
        <v>10</v>
      </c>
      <c r="E406" s="14">
        <v>40503.506249999999</v>
      </c>
      <c r="F406" s="13">
        <v>1.65</v>
      </c>
      <c r="G406" s="13">
        <v>14293</v>
      </c>
      <c r="H406" s="13" t="s">
        <v>9</v>
      </c>
    </row>
    <row r="407" spans="1:8" ht="15.75" customHeight="1" x14ac:dyDescent="0.25">
      <c r="A407" s="13">
        <v>532665</v>
      </c>
      <c r="B407" s="13">
        <v>22632</v>
      </c>
      <c r="C407" s="13" t="s">
        <v>475</v>
      </c>
      <c r="D407" s="13">
        <v>1</v>
      </c>
      <c r="E407" s="14">
        <v>40496.484027777777</v>
      </c>
      <c r="F407" s="13">
        <v>2.1</v>
      </c>
      <c r="G407" s="13">
        <v>14052</v>
      </c>
      <c r="H407" s="13" t="s">
        <v>9</v>
      </c>
    </row>
    <row r="408" spans="1:8" ht="15.75" customHeight="1" x14ac:dyDescent="0.25">
      <c r="A408" s="13">
        <v>533736</v>
      </c>
      <c r="B408" s="13">
        <v>21892</v>
      </c>
      <c r="C408" s="13" t="s">
        <v>86</v>
      </c>
      <c r="D408" s="13">
        <v>1</v>
      </c>
      <c r="E408" s="14">
        <v>40500.57708333333</v>
      </c>
      <c r="F408" s="13">
        <v>1.25</v>
      </c>
      <c r="G408" s="13">
        <v>16089</v>
      </c>
      <c r="H408" s="13" t="s">
        <v>9</v>
      </c>
    </row>
    <row r="409" spans="1:8" ht="15.75" customHeight="1" x14ac:dyDescent="0.25">
      <c r="A409" s="13">
        <v>521791</v>
      </c>
      <c r="B409" s="13">
        <v>22465</v>
      </c>
      <c r="C409" s="13" t="s">
        <v>476</v>
      </c>
      <c r="D409" s="13">
        <v>6</v>
      </c>
      <c r="E409" s="14">
        <v>40429.5625</v>
      </c>
      <c r="F409" s="13">
        <v>1.65</v>
      </c>
      <c r="G409" s="13">
        <v>14667</v>
      </c>
      <c r="H409" s="13" t="s">
        <v>9</v>
      </c>
    </row>
    <row r="410" spans="1:8" ht="15.75" customHeight="1" x14ac:dyDescent="0.25">
      <c r="A410" s="13">
        <v>511310</v>
      </c>
      <c r="B410" s="13">
        <v>22431</v>
      </c>
      <c r="C410" s="13" t="s">
        <v>477</v>
      </c>
      <c r="D410" s="13">
        <v>1</v>
      </c>
      <c r="E410" s="14">
        <v>40336.672222222223</v>
      </c>
      <c r="F410" s="13">
        <v>1.95</v>
      </c>
      <c r="G410" s="13">
        <v>17784</v>
      </c>
      <c r="H410" s="13" t="s">
        <v>9</v>
      </c>
    </row>
    <row r="411" spans="1:8" ht="15.75" customHeight="1" x14ac:dyDescent="0.25">
      <c r="A411" s="13">
        <v>537136</v>
      </c>
      <c r="B411" s="13">
        <v>21351</v>
      </c>
      <c r="C411" s="13" t="s">
        <v>478</v>
      </c>
      <c r="D411" s="13">
        <v>18</v>
      </c>
      <c r="E411" s="14">
        <v>40517.529166666667</v>
      </c>
      <c r="F411" s="13">
        <v>5.95</v>
      </c>
      <c r="G411" s="13">
        <v>12748</v>
      </c>
      <c r="H411" s="13" t="s">
        <v>9</v>
      </c>
    </row>
    <row r="412" spans="1:8" ht="15.75" customHeight="1" x14ac:dyDescent="0.25">
      <c r="A412" s="13">
        <v>534216</v>
      </c>
      <c r="B412" s="13">
        <v>84380</v>
      </c>
      <c r="C412" s="13" t="s">
        <v>126</v>
      </c>
      <c r="D412" s="13">
        <v>1</v>
      </c>
      <c r="E412" s="14">
        <v>40503.672222222223</v>
      </c>
      <c r="F412" s="13">
        <v>1.25</v>
      </c>
      <c r="G412" s="13">
        <v>14606</v>
      </c>
      <c r="H412" s="13" t="s">
        <v>9</v>
      </c>
    </row>
    <row r="413" spans="1:8" ht="15.75" customHeight="1" x14ac:dyDescent="0.25">
      <c r="A413" s="13">
        <v>514797</v>
      </c>
      <c r="B413" s="13">
        <v>22127</v>
      </c>
      <c r="C413" s="13" t="s">
        <v>479</v>
      </c>
      <c r="D413" s="13">
        <v>120</v>
      </c>
      <c r="E413" s="14">
        <v>40365.442361111112</v>
      </c>
      <c r="F413" s="13">
        <v>1.06</v>
      </c>
      <c r="G413" s="13">
        <v>16422</v>
      </c>
      <c r="H413" s="13" t="s">
        <v>9</v>
      </c>
    </row>
    <row r="414" spans="1:8" ht="15.75" customHeight="1" x14ac:dyDescent="0.25">
      <c r="A414" s="13">
        <v>536782</v>
      </c>
      <c r="B414" s="13">
        <v>22077</v>
      </c>
      <c r="C414" s="13" t="s">
        <v>196</v>
      </c>
      <c r="D414" s="13">
        <v>12</v>
      </c>
      <c r="E414" s="14">
        <v>40514.637499999997</v>
      </c>
      <c r="F414" s="13">
        <v>1.65</v>
      </c>
      <c r="G414" s="13">
        <v>17567</v>
      </c>
      <c r="H414" s="13" t="s">
        <v>9</v>
      </c>
    </row>
    <row r="415" spans="1:8" ht="15.75" customHeight="1" x14ac:dyDescent="0.25">
      <c r="A415" s="13">
        <v>532799</v>
      </c>
      <c r="B415" s="13">
        <v>21707</v>
      </c>
      <c r="C415" s="13" t="s">
        <v>480</v>
      </c>
      <c r="D415" s="13">
        <v>2</v>
      </c>
      <c r="E415" s="14">
        <v>40496.617361111108</v>
      </c>
      <c r="F415" s="13">
        <v>4.95</v>
      </c>
      <c r="G415" s="13">
        <v>14599</v>
      </c>
      <c r="H415" s="13" t="s">
        <v>481</v>
      </c>
    </row>
    <row r="416" spans="1:8" ht="15.75" customHeight="1" x14ac:dyDescent="0.25">
      <c r="A416" s="13">
        <v>512725</v>
      </c>
      <c r="B416" s="13">
        <v>22482</v>
      </c>
      <c r="C416" s="13" t="s">
        <v>310</v>
      </c>
      <c r="D416" s="13">
        <v>1</v>
      </c>
      <c r="E416" s="14">
        <v>40346.54791666667</v>
      </c>
      <c r="F416" s="13">
        <v>1.25</v>
      </c>
      <c r="G416" s="13">
        <v>14508</v>
      </c>
      <c r="H416" s="13" t="s">
        <v>9</v>
      </c>
    </row>
    <row r="417" spans="1:8" ht="15.75" customHeight="1" x14ac:dyDescent="0.25">
      <c r="A417" s="13">
        <v>527657</v>
      </c>
      <c r="B417" s="13" t="s">
        <v>482</v>
      </c>
      <c r="C417" s="13" t="s">
        <v>483</v>
      </c>
      <c r="D417" s="13">
        <v>4</v>
      </c>
      <c r="E417" s="14">
        <v>40469.591666666667</v>
      </c>
      <c r="F417" s="13">
        <v>3.75</v>
      </c>
      <c r="G417" s="13">
        <v>16141</v>
      </c>
      <c r="H417" s="13" t="s">
        <v>9</v>
      </c>
    </row>
    <row r="418" spans="1:8" ht="15.75" customHeight="1" x14ac:dyDescent="0.25">
      <c r="A418" s="13">
        <v>492358</v>
      </c>
      <c r="B418" s="13" t="s">
        <v>484</v>
      </c>
      <c r="C418" s="13" t="s">
        <v>485</v>
      </c>
      <c r="D418" s="13">
        <v>6</v>
      </c>
      <c r="E418" s="14">
        <v>40163.556944444441</v>
      </c>
      <c r="F418" s="13">
        <v>4.25</v>
      </c>
      <c r="G418" s="13">
        <v>16779</v>
      </c>
      <c r="H418" s="13" t="s">
        <v>9</v>
      </c>
    </row>
    <row r="419" spans="1:8" ht="15.75" customHeight="1" x14ac:dyDescent="0.25">
      <c r="A419" s="13">
        <v>501280</v>
      </c>
      <c r="B419" s="13">
        <v>20652</v>
      </c>
      <c r="C419" s="13" t="s">
        <v>486</v>
      </c>
      <c r="D419" s="13">
        <v>1</v>
      </c>
      <c r="E419" s="14">
        <v>40252.592361111107</v>
      </c>
      <c r="F419" s="13">
        <v>1.25</v>
      </c>
      <c r="G419" s="13">
        <v>17841</v>
      </c>
      <c r="H419" s="13" t="s">
        <v>9</v>
      </c>
    </row>
    <row r="420" spans="1:8" ht="15.75" customHeight="1" x14ac:dyDescent="0.25">
      <c r="A420" s="13">
        <v>497742</v>
      </c>
      <c r="B420" s="13">
        <v>22063</v>
      </c>
      <c r="C420" s="13" t="s">
        <v>487</v>
      </c>
      <c r="D420" s="13">
        <v>72</v>
      </c>
      <c r="E420" s="14">
        <v>40221.447916666657</v>
      </c>
      <c r="F420" s="13">
        <v>2.5499999999999998</v>
      </c>
      <c r="G420" s="13">
        <v>16029</v>
      </c>
      <c r="H420" s="13" t="s">
        <v>9</v>
      </c>
    </row>
    <row r="421" spans="1:8" ht="15.75" customHeight="1" x14ac:dyDescent="0.25">
      <c r="A421" s="13">
        <v>524152</v>
      </c>
      <c r="B421" s="13">
        <v>22589</v>
      </c>
      <c r="C421" s="13" t="s">
        <v>488</v>
      </c>
      <c r="D421" s="13">
        <v>12</v>
      </c>
      <c r="E421" s="14">
        <v>40448.654861111107</v>
      </c>
      <c r="F421" s="13">
        <v>2.5499999999999998</v>
      </c>
      <c r="G421" s="13">
        <v>15270</v>
      </c>
      <c r="H421" s="13" t="s">
        <v>9</v>
      </c>
    </row>
    <row r="422" spans="1:8" ht="15.75" customHeight="1" x14ac:dyDescent="0.25">
      <c r="A422" s="13">
        <v>489514</v>
      </c>
      <c r="B422" s="13">
        <v>21955</v>
      </c>
      <c r="C422" s="13" t="s">
        <v>489</v>
      </c>
      <c r="D422" s="13">
        <v>10</v>
      </c>
      <c r="E422" s="14">
        <v>40148.472916666673</v>
      </c>
      <c r="F422" s="13">
        <v>5.95</v>
      </c>
      <c r="G422" s="13">
        <v>15311</v>
      </c>
      <c r="H422" s="13" t="s">
        <v>9</v>
      </c>
    </row>
    <row r="423" spans="1:8" ht="15.75" customHeight="1" x14ac:dyDescent="0.25">
      <c r="A423" s="13">
        <v>524421</v>
      </c>
      <c r="B423" s="13">
        <v>21445</v>
      </c>
      <c r="C423" s="13" t="s">
        <v>490</v>
      </c>
      <c r="D423" s="13">
        <v>12</v>
      </c>
      <c r="E423" s="14">
        <v>40450.43472222222</v>
      </c>
      <c r="F423" s="13">
        <v>1.25</v>
      </c>
      <c r="G423" s="13">
        <v>13804</v>
      </c>
      <c r="H423" s="13" t="s">
        <v>9</v>
      </c>
    </row>
    <row r="424" spans="1:8" ht="15.75" customHeight="1" x14ac:dyDescent="0.25">
      <c r="A424" s="13">
        <v>498047</v>
      </c>
      <c r="B424" s="13">
        <v>22138</v>
      </c>
      <c r="C424"/>
      <c r="D424" s="13">
        <v>6</v>
      </c>
      <c r="E424" s="14">
        <v>40225.447916666657</v>
      </c>
      <c r="F424" s="13">
        <v>4.95</v>
      </c>
      <c r="G424" s="13">
        <v>13381</v>
      </c>
      <c r="H424" s="13" t="s">
        <v>9</v>
      </c>
    </row>
    <row r="425" spans="1:8" ht="15.75" customHeight="1" x14ac:dyDescent="0.25">
      <c r="A425" s="13">
        <v>507889</v>
      </c>
      <c r="B425" s="13">
        <v>21915</v>
      </c>
      <c r="C425" s="13" t="s">
        <v>347</v>
      </c>
      <c r="D425" s="13">
        <v>12</v>
      </c>
      <c r="E425" s="14">
        <v>40309.690972222219</v>
      </c>
      <c r="F425" s="13">
        <v>1.25</v>
      </c>
      <c r="G425" s="13">
        <v>15862</v>
      </c>
      <c r="H425" s="13" t="s">
        <v>9</v>
      </c>
    </row>
    <row r="426" spans="1:8" ht="15.75" customHeight="1" x14ac:dyDescent="0.25">
      <c r="A426" s="13">
        <v>534517</v>
      </c>
      <c r="B426" s="13">
        <v>22350</v>
      </c>
      <c r="C426" s="13" t="s">
        <v>491</v>
      </c>
      <c r="D426" s="13">
        <v>6</v>
      </c>
      <c r="E426" s="14">
        <v>40505.500694444447</v>
      </c>
      <c r="F426" s="13">
        <v>2.5499999999999998</v>
      </c>
      <c r="G426" s="13">
        <v>16229</v>
      </c>
      <c r="H426" s="13" t="s">
        <v>9</v>
      </c>
    </row>
    <row r="427" spans="1:8" ht="15.75" customHeight="1" x14ac:dyDescent="0.25">
      <c r="A427" s="13">
        <v>503348</v>
      </c>
      <c r="B427" s="13">
        <v>21099</v>
      </c>
      <c r="C427" s="13" t="s">
        <v>492</v>
      </c>
      <c r="D427" s="13">
        <v>2</v>
      </c>
      <c r="E427" s="14">
        <v>40268.561805555553</v>
      </c>
      <c r="F427" s="13">
        <v>0.65</v>
      </c>
      <c r="G427" s="13">
        <v>15800</v>
      </c>
      <c r="H427" s="13" t="s">
        <v>9</v>
      </c>
    </row>
    <row r="428" spans="1:8" ht="15.75" customHeight="1" x14ac:dyDescent="0.25">
      <c r="A428" s="13">
        <v>514993</v>
      </c>
      <c r="B428" s="13">
        <v>21231</v>
      </c>
      <c r="C428" s="13" t="s">
        <v>493</v>
      </c>
      <c r="D428" s="13">
        <v>6</v>
      </c>
      <c r="E428" s="14">
        <v>40366.605555555558</v>
      </c>
      <c r="F428" s="13">
        <v>1.25</v>
      </c>
      <c r="G428" s="13">
        <v>13593</v>
      </c>
      <c r="H428" s="13" t="s">
        <v>9</v>
      </c>
    </row>
    <row r="429" spans="1:8" ht="15.75" customHeight="1" x14ac:dyDescent="0.25">
      <c r="A429" s="13">
        <v>510488</v>
      </c>
      <c r="B429" s="13">
        <v>21623</v>
      </c>
      <c r="C429" s="13" t="s">
        <v>494</v>
      </c>
      <c r="D429" s="13">
        <v>2</v>
      </c>
      <c r="E429" s="14">
        <v>40330.5</v>
      </c>
      <c r="F429" s="13">
        <v>9.9499999999999993</v>
      </c>
      <c r="G429" s="13" t="s">
        <v>495</v>
      </c>
      <c r="H429" s="13" t="s">
        <v>9</v>
      </c>
    </row>
    <row r="430" spans="1:8" ht="15.75" customHeight="1" x14ac:dyDescent="0.25">
      <c r="A430" s="13">
        <v>516158</v>
      </c>
      <c r="B430" s="13">
        <v>21825</v>
      </c>
      <c r="C430" s="13" t="s">
        <v>496</v>
      </c>
      <c r="D430" s="13">
        <v>24</v>
      </c>
      <c r="E430" s="14">
        <v>40377.492361111108</v>
      </c>
      <c r="F430" s="13">
        <v>1.45</v>
      </c>
      <c r="G430" s="13">
        <v>16950</v>
      </c>
      <c r="H430" s="13" t="s">
        <v>9</v>
      </c>
    </row>
    <row r="431" spans="1:8" ht="15.75" customHeight="1" x14ac:dyDescent="0.25">
      <c r="A431" s="13">
        <v>527053</v>
      </c>
      <c r="B431" s="13">
        <v>21212</v>
      </c>
      <c r="C431" s="13" t="s">
        <v>497</v>
      </c>
      <c r="D431" s="13">
        <v>2</v>
      </c>
      <c r="E431" s="14">
        <v>40465.545138888891</v>
      </c>
      <c r="F431" s="13">
        <v>0.55000000000000004</v>
      </c>
      <c r="G431" s="13">
        <v>14343</v>
      </c>
      <c r="H431" s="13" t="s">
        <v>9</v>
      </c>
    </row>
    <row r="432" spans="1:8" ht="15.75" customHeight="1" x14ac:dyDescent="0.25">
      <c r="A432" s="13">
        <v>532336</v>
      </c>
      <c r="B432" s="13">
        <v>21181</v>
      </c>
      <c r="C432" s="13" t="s">
        <v>498</v>
      </c>
      <c r="D432" s="13">
        <v>12</v>
      </c>
      <c r="E432" s="14">
        <v>40493.657638888893</v>
      </c>
      <c r="F432" s="13">
        <v>2.1</v>
      </c>
      <c r="G432" s="13">
        <v>16471</v>
      </c>
      <c r="H432" s="13" t="s">
        <v>9</v>
      </c>
    </row>
    <row r="433" spans="1:8" ht="15.75" customHeight="1" x14ac:dyDescent="0.25">
      <c r="A433" s="13">
        <v>519539</v>
      </c>
      <c r="B433" s="13">
        <v>22423</v>
      </c>
      <c r="C433" s="13" t="s">
        <v>499</v>
      </c>
      <c r="D433" s="13">
        <v>10</v>
      </c>
      <c r="E433" s="14">
        <v>40408.439583333333</v>
      </c>
      <c r="F433" s="13">
        <v>12.75</v>
      </c>
      <c r="G433" s="13">
        <v>15268</v>
      </c>
      <c r="H433" s="13" t="s">
        <v>9</v>
      </c>
    </row>
    <row r="434" spans="1:8" ht="15.75" customHeight="1" x14ac:dyDescent="0.25">
      <c r="A434" s="13">
        <v>523005</v>
      </c>
      <c r="B434" s="13">
        <v>20771</v>
      </c>
      <c r="C434" s="13" t="s">
        <v>500</v>
      </c>
      <c r="D434" s="13">
        <v>1</v>
      </c>
      <c r="E434" s="14">
        <v>40440.680555555547</v>
      </c>
      <c r="F434" s="13">
        <v>2.5499999999999998</v>
      </c>
      <c r="G434" s="13">
        <v>12748</v>
      </c>
      <c r="H434" s="13" t="s">
        <v>9</v>
      </c>
    </row>
    <row r="435" spans="1:8" ht="15.75" customHeight="1" x14ac:dyDescent="0.25">
      <c r="A435" s="13">
        <v>535953</v>
      </c>
      <c r="B435" s="13" t="s">
        <v>395</v>
      </c>
      <c r="C435" s="13" t="s">
        <v>396</v>
      </c>
      <c r="D435" s="13">
        <v>2</v>
      </c>
      <c r="E435" s="14">
        <v>40511.509027777778</v>
      </c>
      <c r="F435" s="13">
        <v>3.75</v>
      </c>
      <c r="G435" s="13">
        <v>15039</v>
      </c>
      <c r="H435" s="13" t="s">
        <v>9</v>
      </c>
    </row>
    <row r="436" spans="1:8" ht="15.75" customHeight="1" x14ac:dyDescent="0.25">
      <c r="A436" s="13">
        <v>522134</v>
      </c>
      <c r="B436" s="13">
        <v>20738</v>
      </c>
      <c r="C436" s="13" t="s">
        <v>501</v>
      </c>
      <c r="D436" s="13">
        <v>100</v>
      </c>
      <c r="E436" s="14">
        <v>40434.417361111111</v>
      </c>
      <c r="F436" s="13">
        <v>0.85</v>
      </c>
      <c r="G436" s="13">
        <v>16013</v>
      </c>
      <c r="H436" s="13" t="s">
        <v>9</v>
      </c>
    </row>
    <row r="437" spans="1:8" ht="15.75" customHeight="1" x14ac:dyDescent="0.25">
      <c r="A437" s="13">
        <v>489830</v>
      </c>
      <c r="B437" s="13">
        <v>21154</v>
      </c>
      <c r="C437" s="13" t="s">
        <v>502</v>
      </c>
      <c r="D437" s="13">
        <v>2</v>
      </c>
      <c r="E437" s="14">
        <v>40149.581250000003</v>
      </c>
      <c r="F437" s="13">
        <v>1.25</v>
      </c>
      <c r="G437" s="13">
        <v>13623</v>
      </c>
      <c r="H437" s="13" t="s">
        <v>9</v>
      </c>
    </row>
    <row r="438" spans="1:8" ht="15.75" customHeight="1" x14ac:dyDescent="0.25">
      <c r="A438" s="13">
        <v>530998</v>
      </c>
      <c r="B438" s="13" t="s">
        <v>503</v>
      </c>
      <c r="C438" s="13" t="s">
        <v>504</v>
      </c>
      <c r="D438" s="13">
        <v>2</v>
      </c>
      <c r="E438" s="14">
        <v>40487.470138888893</v>
      </c>
      <c r="F438" s="13">
        <v>1.25</v>
      </c>
      <c r="G438" s="13">
        <v>15034</v>
      </c>
      <c r="H438" s="13" t="s">
        <v>9</v>
      </c>
    </row>
    <row r="439" spans="1:8" ht="15.75" customHeight="1" x14ac:dyDescent="0.25">
      <c r="A439" s="13">
        <v>533783</v>
      </c>
      <c r="B439" s="13">
        <v>22188</v>
      </c>
      <c r="C439" s="13" t="s">
        <v>505</v>
      </c>
      <c r="D439" s="13">
        <v>4</v>
      </c>
      <c r="E439" s="14">
        <v>40500.689583333333</v>
      </c>
      <c r="F439" s="13">
        <v>3.95</v>
      </c>
      <c r="G439" s="13">
        <v>18160</v>
      </c>
      <c r="H439" s="13" t="s">
        <v>9</v>
      </c>
    </row>
    <row r="440" spans="1:8" ht="15.75" customHeight="1" x14ac:dyDescent="0.25">
      <c r="A440" s="13">
        <v>520861</v>
      </c>
      <c r="B440" s="13">
        <v>21488</v>
      </c>
      <c r="C440" s="13" t="s">
        <v>506</v>
      </c>
      <c r="D440" s="13">
        <v>1</v>
      </c>
      <c r="E440" s="14">
        <v>40421.581250000003</v>
      </c>
      <c r="F440" s="13">
        <v>3.95</v>
      </c>
      <c r="G440" s="13">
        <v>13714</v>
      </c>
      <c r="H440" s="13" t="s">
        <v>9</v>
      </c>
    </row>
    <row r="441" spans="1:8" ht="15.75" customHeight="1" x14ac:dyDescent="0.25">
      <c r="A441" s="13">
        <v>527777</v>
      </c>
      <c r="B441" s="13">
        <v>22847</v>
      </c>
      <c r="C441" s="13" t="s">
        <v>507</v>
      </c>
      <c r="D441" s="13">
        <v>2</v>
      </c>
      <c r="E441" s="14">
        <v>40470.459027777782</v>
      </c>
      <c r="F441" s="13">
        <v>16.95</v>
      </c>
      <c r="G441" s="13">
        <v>12476</v>
      </c>
      <c r="H441" s="13" t="s">
        <v>17</v>
      </c>
    </row>
    <row r="442" spans="1:8" ht="15.75" customHeight="1" x14ac:dyDescent="0.25">
      <c r="A442" s="13">
        <v>496644</v>
      </c>
      <c r="B442" s="13">
        <v>21944</v>
      </c>
      <c r="C442" s="13" t="s">
        <v>508</v>
      </c>
      <c r="D442" s="13">
        <v>1</v>
      </c>
      <c r="E442" s="14">
        <v>40212.498611111107</v>
      </c>
      <c r="F442" s="13">
        <v>0.85</v>
      </c>
      <c r="G442" s="13">
        <v>15003</v>
      </c>
      <c r="H442" s="13" t="s">
        <v>9</v>
      </c>
    </row>
    <row r="443" spans="1:8" ht="15.75" customHeight="1" x14ac:dyDescent="0.25">
      <c r="A443" s="13">
        <v>506754</v>
      </c>
      <c r="B443" s="13">
        <v>20723</v>
      </c>
      <c r="C443" s="13" t="s">
        <v>509</v>
      </c>
      <c r="D443" s="13">
        <v>10</v>
      </c>
      <c r="E443" s="14">
        <v>40302.493750000001</v>
      </c>
      <c r="F443" s="13">
        <v>0.85</v>
      </c>
      <c r="G443" s="13">
        <v>14110</v>
      </c>
      <c r="H443" s="13" t="s">
        <v>9</v>
      </c>
    </row>
    <row r="444" spans="1:8" ht="15.75" customHeight="1" x14ac:dyDescent="0.25">
      <c r="A444" s="13">
        <v>520207</v>
      </c>
      <c r="B444" s="13">
        <v>21054</v>
      </c>
      <c r="C444" s="13" t="s">
        <v>510</v>
      </c>
      <c r="D444" s="13">
        <v>2</v>
      </c>
      <c r="E444" s="14">
        <v>40414.676388888889</v>
      </c>
      <c r="F444" s="13">
        <v>8.9499999999999993</v>
      </c>
      <c r="G444" s="13">
        <v>15666</v>
      </c>
      <c r="H444" s="13" t="s">
        <v>9</v>
      </c>
    </row>
    <row r="445" spans="1:8" ht="15.75" customHeight="1" x14ac:dyDescent="0.25">
      <c r="A445" s="13">
        <v>526906</v>
      </c>
      <c r="B445" s="13">
        <v>22553</v>
      </c>
      <c r="C445" s="13" t="s">
        <v>259</v>
      </c>
      <c r="D445" s="13">
        <v>1</v>
      </c>
      <c r="E445" s="14">
        <v>40464.640277777777</v>
      </c>
      <c r="F445" s="13">
        <v>1.65</v>
      </c>
      <c r="G445" s="13">
        <v>16120</v>
      </c>
      <c r="H445" s="13" t="s">
        <v>9</v>
      </c>
    </row>
    <row r="446" spans="1:8" ht="15.75" customHeight="1" x14ac:dyDescent="0.25">
      <c r="A446" s="13">
        <v>522276</v>
      </c>
      <c r="B446" s="13">
        <v>22023</v>
      </c>
      <c r="C446" s="13" t="s">
        <v>511</v>
      </c>
      <c r="D446" s="13">
        <v>24</v>
      </c>
      <c r="E446" s="14">
        <v>40434.532638888893</v>
      </c>
      <c r="F446" s="13">
        <v>0.36</v>
      </c>
      <c r="G446" s="13">
        <v>15061</v>
      </c>
      <c r="H446" s="13" t="s">
        <v>9</v>
      </c>
    </row>
    <row r="447" spans="1:8" ht="15.75" customHeight="1" x14ac:dyDescent="0.25">
      <c r="A447" s="13">
        <v>532305</v>
      </c>
      <c r="B447" s="13">
        <v>22956</v>
      </c>
      <c r="C447" s="13" t="s">
        <v>244</v>
      </c>
      <c r="D447" s="13">
        <v>48</v>
      </c>
      <c r="E447" s="14">
        <v>40493.599305555559</v>
      </c>
      <c r="F447" s="13">
        <v>1.85</v>
      </c>
      <c r="G447" s="13">
        <v>12356</v>
      </c>
      <c r="H447" s="13" t="s">
        <v>245</v>
      </c>
    </row>
    <row r="448" spans="1:8" ht="15.75" customHeight="1" x14ac:dyDescent="0.25">
      <c r="A448" s="13">
        <v>536182</v>
      </c>
      <c r="B448" s="13">
        <v>22600</v>
      </c>
      <c r="C448" s="13" t="s">
        <v>365</v>
      </c>
      <c r="D448" s="13">
        <v>12</v>
      </c>
      <c r="E448" s="14">
        <v>40512.517361111109</v>
      </c>
      <c r="F448" s="13">
        <v>0.85</v>
      </c>
      <c r="G448" s="13">
        <v>18260</v>
      </c>
      <c r="H448" s="13" t="s">
        <v>9</v>
      </c>
    </row>
    <row r="449" spans="1:8" ht="15.75" customHeight="1" x14ac:dyDescent="0.25">
      <c r="A449" s="13">
        <v>525401</v>
      </c>
      <c r="B449" s="13">
        <v>20972</v>
      </c>
      <c r="C449" s="13" t="s">
        <v>512</v>
      </c>
      <c r="D449" s="13">
        <v>24</v>
      </c>
      <c r="E449" s="14">
        <v>40456.494444444441</v>
      </c>
      <c r="F449" s="13">
        <v>1.25</v>
      </c>
      <c r="G449" s="13">
        <v>14844</v>
      </c>
      <c r="H449" s="13" t="s">
        <v>9</v>
      </c>
    </row>
    <row r="450" spans="1:8" ht="15.75" customHeight="1" x14ac:dyDescent="0.25">
      <c r="A450" s="13">
        <v>534788</v>
      </c>
      <c r="B450" s="13">
        <v>21561</v>
      </c>
      <c r="C450" s="13" t="s">
        <v>513</v>
      </c>
      <c r="D450" s="13">
        <v>1</v>
      </c>
      <c r="E450" s="14">
        <v>40506.475694444453</v>
      </c>
      <c r="F450" s="13">
        <v>2.5499999999999998</v>
      </c>
      <c r="G450" s="13">
        <v>16782</v>
      </c>
      <c r="H450" s="13" t="s">
        <v>9</v>
      </c>
    </row>
    <row r="451" spans="1:8" ht="15.75" customHeight="1" x14ac:dyDescent="0.25">
      <c r="A451" s="13">
        <v>509743</v>
      </c>
      <c r="B451" s="13" t="s">
        <v>514</v>
      </c>
      <c r="C451" s="13" t="s">
        <v>515</v>
      </c>
      <c r="D451" s="13">
        <v>4</v>
      </c>
      <c r="E451" s="14">
        <v>40323.556250000001</v>
      </c>
      <c r="F451" s="13" t="s">
        <v>516</v>
      </c>
      <c r="G451" s="13">
        <v>17841</v>
      </c>
      <c r="H451" s="13" t="s">
        <v>9</v>
      </c>
    </row>
    <row r="452" spans="1:8" ht="15.75" customHeight="1" x14ac:dyDescent="0.25">
      <c r="A452" s="13">
        <v>498104</v>
      </c>
      <c r="B452" s="13">
        <v>22348</v>
      </c>
      <c r="C452" s="13" t="s">
        <v>517</v>
      </c>
      <c r="D452" s="13">
        <v>4</v>
      </c>
      <c r="E452" s="14">
        <v>40225.575694444437</v>
      </c>
      <c r="F452" s="13">
        <v>0.85</v>
      </c>
      <c r="G452" s="13">
        <v>13503</v>
      </c>
      <c r="H452" s="13" t="s">
        <v>9</v>
      </c>
    </row>
    <row r="453" spans="1:8" ht="15.75" customHeight="1" x14ac:dyDescent="0.25">
      <c r="A453" s="13">
        <v>500639</v>
      </c>
      <c r="B453" s="13">
        <v>21210</v>
      </c>
      <c r="C453" s="13" t="s">
        <v>518</v>
      </c>
      <c r="D453" s="13">
        <v>12</v>
      </c>
      <c r="E453" s="14">
        <v>40246.453472222223</v>
      </c>
      <c r="F453" s="13">
        <v>1.45</v>
      </c>
      <c r="G453" s="13">
        <v>12495</v>
      </c>
      <c r="H453" s="13" t="s">
        <v>519</v>
      </c>
    </row>
    <row r="454" spans="1:8" ht="15.75" customHeight="1" x14ac:dyDescent="0.25">
      <c r="A454" s="13">
        <v>534030</v>
      </c>
      <c r="B454" s="13">
        <v>84050</v>
      </c>
      <c r="C454" s="13" t="s">
        <v>520</v>
      </c>
      <c r="D454" s="13">
        <v>6</v>
      </c>
      <c r="E454" s="14">
        <v>40501.634027777778</v>
      </c>
      <c r="F454" s="13">
        <v>1.65</v>
      </c>
      <c r="G454" s="13">
        <v>12721</v>
      </c>
      <c r="H454" s="13" t="s">
        <v>28</v>
      </c>
    </row>
    <row r="455" spans="1:8" ht="15.75" customHeight="1" x14ac:dyDescent="0.25">
      <c r="A455" s="13">
        <v>522273</v>
      </c>
      <c r="B455" s="13">
        <v>21174</v>
      </c>
      <c r="C455" s="13" t="s">
        <v>521</v>
      </c>
      <c r="D455" s="13">
        <v>1</v>
      </c>
      <c r="E455" s="14">
        <v>40434.52847222222</v>
      </c>
      <c r="F455" s="13">
        <v>1.95</v>
      </c>
      <c r="G455" s="13">
        <v>16470</v>
      </c>
      <c r="H455" s="13" t="s">
        <v>9</v>
      </c>
    </row>
    <row r="456" spans="1:8" ht="15.75" customHeight="1" x14ac:dyDescent="0.25">
      <c r="A456" s="13">
        <v>507647</v>
      </c>
      <c r="B456" s="13" t="s">
        <v>522</v>
      </c>
      <c r="C456" s="13" t="s">
        <v>523</v>
      </c>
      <c r="D456" s="13">
        <v>25</v>
      </c>
      <c r="E456" s="14">
        <v>40308.656944444447</v>
      </c>
      <c r="F456" s="13">
        <v>0.85</v>
      </c>
      <c r="G456" s="13">
        <v>18275</v>
      </c>
      <c r="H456" s="13" t="s">
        <v>132</v>
      </c>
    </row>
    <row r="457" spans="1:8" ht="15.75" customHeight="1" x14ac:dyDescent="0.25">
      <c r="A457" s="13">
        <v>514839</v>
      </c>
      <c r="B457" s="13">
        <v>21621</v>
      </c>
      <c r="C457" s="13" t="s">
        <v>524</v>
      </c>
      <c r="D457" s="13">
        <v>20</v>
      </c>
      <c r="E457" s="14">
        <v>40365.615277777782</v>
      </c>
      <c r="F457" s="13">
        <v>8.5</v>
      </c>
      <c r="G457" s="13">
        <v>16126</v>
      </c>
      <c r="H457" s="13" t="s">
        <v>9</v>
      </c>
    </row>
    <row r="458" spans="1:8" ht="15.75" customHeight="1" x14ac:dyDescent="0.25">
      <c r="A458" s="13">
        <v>492517</v>
      </c>
      <c r="B458" s="13">
        <v>20702</v>
      </c>
      <c r="C458" s="13" t="s">
        <v>525</v>
      </c>
      <c r="D458" s="13">
        <v>3</v>
      </c>
      <c r="E458" s="14">
        <v>40164.499305555553</v>
      </c>
      <c r="F458" s="13">
        <v>4.25</v>
      </c>
      <c r="G458" s="13">
        <v>17612</v>
      </c>
      <c r="H458" s="13" t="s">
        <v>9</v>
      </c>
    </row>
    <row r="459" spans="1:8" ht="15.75" customHeight="1" x14ac:dyDescent="0.25">
      <c r="A459" s="13">
        <v>495244</v>
      </c>
      <c r="B459" s="13">
        <v>22046</v>
      </c>
      <c r="C459" s="13" t="s">
        <v>526</v>
      </c>
      <c r="D459" s="13">
        <v>25</v>
      </c>
      <c r="E459" s="14">
        <v>40200.45208333333</v>
      </c>
      <c r="F459" s="13">
        <v>0.42</v>
      </c>
      <c r="G459" s="13">
        <v>15179</v>
      </c>
      <c r="H459" s="13" t="s">
        <v>9</v>
      </c>
    </row>
    <row r="460" spans="1:8" ht="15.75" customHeight="1" x14ac:dyDescent="0.25">
      <c r="A460" s="13">
        <v>526575</v>
      </c>
      <c r="B460" s="13" t="s">
        <v>363</v>
      </c>
      <c r="C460" s="13" t="s">
        <v>364</v>
      </c>
      <c r="D460" s="13">
        <v>2</v>
      </c>
      <c r="E460" s="14">
        <v>40463.491666666669</v>
      </c>
      <c r="F460" s="13">
        <v>9.9499999999999993</v>
      </c>
      <c r="G460" s="13">
        <v>16126</v>
      </c>
      <c r="H460" s="13" t="s">
        <v>9</v>
      </c>
    </row>
    <row r="461" spans="1:8" ht="15.75" customHeight="1" x14ac:dyDescent="0.25">
      <c r="A461" s="13">
        <v>532764</v>
      </c>
      <c r="B461" s="13" t="s">
        <v>527</v>
      </c>
      <c r="C461" s="13" t="s">
        <v>528</v>
      </c>
      <c r="D461" s="13">
        <v>1</v>
      </c>
      <c r="E461" s="14">
        <v>40496.588194444441</v>
      </c>
      <c r="F461" s="13">
        <v>2.95</v>
      </c>
      <c r="G461" s="13">
        <v>14684</v>
      </c>
      <c r="H461" s="13" t="s">
        <v>9</v>
      </c>
    </row>
    <row r="462" spans="1:8" ht="15.75" customHeight="1" x14ac:dyDescent="0.25">
      <c r="A462" s="13">
        <v>490142</v>
      </c>
      <c r="B462" s="13">
        <v>37503</v>
      </c>
      <c r="C462" s="13" t="s">
        <v>288</v>
      </c>
      <c r="D462" s="13">
        <v>6</v>
      </c>
      <c r="E462" s="14">
        <v>40151.35833333333</v>
      </c>
      <c r="F462" s="13">
        <v>10.75</v>
      </c>
      <c r="G462" s="13">
        <v>14258</v>
      </c>
      <c r="H462" s="13" t="s">
        <v>9</v>
      </c>
    </row>
    <row r="463" spans="1:8" ht="15.75" customHeight="1" x14ac:dyDescent="0.25">
      <c r="A463" s="13">
        <v>524099</v>
      </c>
      <c r="B463" s="13">
        <v>22312</v>
      </c>
      <c r="C463" s="13" t="s">
        <v>529</v>
      </c>
      <c r="D463" s="13">
        <v>3</v>
      </c>
      <c r="E463" s="14">
        <v>40448.51666666667</v>
      </c>
      <c r="F463" s="13">
        <v>2.95</v>
      </c>
      <c r="G463" s="13">
        <v>13448</v>
      </c>
      <c r="H463" s="13" t="s">
        <v>9</v>
      </c>
    </row>
    <row r="464" spans="1:8" ht="15.75" customHeight="1" x14ac:dyDescent="0.25">
      <c r="A464" s="13">
        <v>530763</v>
      </c>
      <c r="B464" s="13">
        <v>22553</v>
      </c>
      <c r="C464" s="13" t="s">
        <v>259</v>
      </c>
      <c r="D464" s="13">
        <v>12</v>
      </c>
      <c r="E464" s="14">
        <v>40486.499305555553</v>
      </c>
      <c r="F464" s="13">
        <v>1.65</v>
      </c>
      <c r="G464" s="13">
        <v>15379</v>
      </c>
      <c r="H464" s="13" t="s">
        <v>9</v>
      </c>
    </row>
    <row r="465" spans="1:8" ht="15.75" customHeight="1" x14ac:dyDescent="0.25">
      <c r="A465" s="13">
        <v>520885</v>
      </c>
      <c r="B465" s="13">
        <v>21731</v>
      </c>
      <c r="C465" s="13" t="s">
        <v>96</v>
      </c>
      <c r="D465" s="13">
        <v>1</v>
      </c>
      <c r="E465" s="14">
        <v>40421.681250000001</v>
      </c>
      <c r="F465" s="13" t="s">
        <v>212</v>
      </c>
      <c r="G465" s="13">
        <v>14040</v>
      </c>
      <c r="H465" s="13" t="s">
        <v>9</v>
      </c>
    </row>
    <row r="466" spans="1:8" ht="15.75" customHeight="1" x14ac:dyDescent="0.25">
      <c r="A466" s="13">
        <v>506578</v>
      </c>
      <c r="B466" s="13">
        <v>21578</v>
      </c>
      <c r="C466" s="13" t="s">
        <v>530</v>
      </c>
      <c r="D466" s="13">
        <v>12</v>
      </c>
      <c r="E466" s="14">
        <v>40298.577777777777</v>
      </c>
      <c r="F466" s="13">
        <v>2.25</v>
      </c>
      <c r="G466" s="13">
        <v>12708</v>
      </c>
      <c r="H466" s="13" t="s">
        <v>17</v>
      </c>
    </row>
    <row r="467" spans="1:8" ht="15.75" customHeight="1" x14ac:dyDescent="0.25">
      <c r="A467" s="13">
        <v>492153</v>
      </c>
      <c r="B467" s="13" t="s">
        <v>424</v>
      </c>
      <c r="C467" s="13" t="s">
        <v>425</v>
      </c>
      <c r="D467" s="13">
        <v>4</v>
      </c>
      <c r="E467" s="14">
        <v>40162.604166666657</v>
      </c>
      <c r="F467" s="13" t="s">
        <v>109</v>
      </c>
      <c r="G467" s="13">
        <v>17797</v>
      </c>
      <c r="H467" s="13" t="s">
        <v>9</v>
      </c>
    </row>
    <row r="468" spans="1:8" ht="15.75" customHeight="1" x14ac:dyDescent="0.25">
      <c r="A468" s="13">
        <v>508721</v>
      </c>
      <c r="B468" s="13">
        <v>21427</v>
      </c>
      <c r="C468" s="13" t="s">
        <v>531</v>
      </c>
      <c r="D468" s="13">
        <v>3</v>
      </c>
      <c r="E468" s="14">
        <v>40315.724999999999</v>
      </c>
      <c r="F468" s="13">
        <v>2.1</v>
      </c>
      <c r="G468" s="13">
        <v>14606</v>
      </c>
      <c r="H468" s="13" t="s">
        <v>9</v>
      </c>
    </row>
    <row r="469" spans="1:8" ht="15.75" customHeight="1" x14ac:dyDescent="0.25">
      <c r="A469" s="13">
        <v>507420</v>
      </c>
      <c r="B469" s="13">
        <v>21645</v>
      </c>
      <c r="C469" s="13" t="s">
        <v>532</v>
      </c>
      <c r="D469" s="13">
        <v>1</v>
      </c>
      <c r="E469" s="14">
        <v>40307.629166666673</v>
      </c>
      <c r="F469" s="13">
        <v>1.65</v>
      </c>
      <c r="G469" s="13">
        <v>12748</v>
      </c>
      <c r="H469" s="13" t="s">
        <v>9</v>
      </c>
    </row>
    <row r="470" spans="1:8" ht="15.75" customHeight="1" x14ac:dyDescent="0.25">
      <c r="A470" s="13">
        <v>534164</v>
      </c>
      <c r="B470" s="13">
        <v>22910</v>
      </c>
      <c r="C470" s="13" t="s">
        <v>533</v>
      </c>
      <c r="D470" s="13">
        <v>2</v>
      </c>
      <c r="E470" s="14">
        <v>40503.550694444442</v>
      </c>
      <c r="F470" s="13">
        <v>2.95</v>
      </c>
      <c r="G470" s="13">
        <v>16241</v>
      </c>
      <c r="H470" s="13" t="s">
        <v>9</v>
      </c>
    </row>
    <row r="471" spans="1:8" ht="15.75" customHeight="1" x14ac:dyDescent="0.25">
      <c r="A471" s="13">
        <v>537850</v>
      </c>
      <c r="B471" s="13" t="s">
        <v>534</v>
      </c>
      <c r="C471" s="13" t="s">
        <v>535</v>
      </c>
      <c r="D471" s="13">
        <v>6</v>
      </c>
      <c r="E471" s="14">
        <v>40520.651388888888</v>
      </c>
      <c r="F471" s="13">
        <v>1.25</v>
      </c>
      <c r="G471" s="13">
        <v>16722</v>
      </c>
      <c r="H471" s="13" t="s">
        <v>9</v>
      </c>
    </row>
    <row r="472" spans="1:8" ht="15.75" customHeight="1" x14ac:dyDescent="0.25">
      <c r="A472" s="13">
        <v>503060</v>
      </c>
      <c r="B472" s="13">
        <v>21260</v>
      </c>
      <c r="C472" s="13" t="s">
        <v>202</v>
      </c>
      <c r="D472" s="13">
        <v>2</v>
      </c>
      <c r="E472" s="14">
        <v>40266.686111111107</v>
      </c>
      <c r="F472" s="13">
        <v>3.25</v>
      </c>
      <c r="G472" s="13">
        <v>13412</v>
      </c>
      <c r="H472" s="13" t="s">
        <v>9</v>
      </c>
    </row>
    <row r="473" spans="1:8" ht="15.75" customHeight="1" x14ac:dyDescent="0.25">
      <c r="A473" s="13">
        <v>521898</v>
      </c>
      <c r="B473" s="13">
        <v>22112</v>
      </c>
      <c r="C473" s="13" t="s">
        <v>199</v>
      </c>
      <c r="D473" s="13">
        <v>2</v>
      </c>
      <c r="E473" s="14">
        <v>40430.51666666667</v>
      </c>
      <c r="F473" s="13">
        <v>4.95</v>
      </c>
      <c r="G473" s="13">
        <v>17243</v>
      </c>
      <c r="H473" s="13" t="s">
        <v>9</v>
      </c>
    </row>
    <row r="474" spans="1:8" ht="15.75" customHeight="1" x14ac:dyDescent="0.25">
      <c r="A474" s="13">
        <v>509865</v>
      </c>
      <c r="B474" s="13">
        <v>47566</v>
      </c>
      <c r="C474" s="13" t="s">
        <v>55</v>
      </c>
      <c r="D474" s="13" t="s">
        <v>536</v>
      </c>
      <c r="E474" s="14">
        <v>40324.436805555553</v>
      </c>
      <c r="F474" s="13">
        <v>4.6500000000000004</v>
      </c>
      <c r="G474" s="13">
        <v>16844</v>
      </c>
      <c r="H474" s="13" t="s">
        <v>9</v>
      </c>
    </row>
    <row r="475" spans="1:8" ht="15.75" customHeight="1" x14ac:dyDescent="0.25">
      <c r="A475" s="13">
        <v>510443</v>
      </c>
      <c r="B475" s="13">
        <v>21577</v>
      </c>
      <c r="C475" s="13" t="s">
        <v>537</v>
      </c>
      <c r="D475" s="13">
        <v>1</v>
      </c>
      <c r="E475" s="14">
        <v>40328.643750000003</v>
      </c>
      <c r="F475" s="13">
        <v>2.25</v>
      </c>
      <c r="G475" s="13">
        <v>14606</v>
      </c>
      <c r="H475" s="13" t="s">
        <v>9</v>
      </c>
    </row>
    <row r="476" spans="1:8" ht="15.75" customHeight="1" x14ac:dyDescent="0.25">
      <c r="A476" s="13">
        <v>532325</v>
      </c>
      <c r="B476" s="13">
        <v>22112</v>
      </c>
      <c r="C476" s="13" t="s">
        <v>199</v>
      </c>
      <c r="D476" s="13">
        <v>3</v>
      </c>
      <c r="E476" s="14">
        <v>40493.642361111109</v>
      </c>
      <c r="F476" s="13">
        <v>4.95</v>
      </c>
      <c r="G476" s="13">
        <v>16735</v>
      </c>
      <c r="H476" s="13" t="s">
        <v>9</v>
      </c>
    </row>
    <row r="477" spans="1:8" ht="15.75" customHeight="1" x14ac:dyDescent="0.25">
      <c r="A477" s="13">
        <v>506258</v>
      </c>
      <c r="B477" s="13">
        <v>22090</v>
      </c>
      <c r="C477" s="13" t="s">
        <v>538</v>
      </c>
      <c r="D477" s="13">
        <v>6</v>
      </c>
      <c r="E477" s="14">
        <v>40296.600694444453</v>
      </c>
      <c r="F477" s="13">
        <v>2.95</v>
      </c>
      <c r="G477" s="13">
        <v>15738</v>
      </c>
      <c r="H477" s="13" t="s">
        <v>9</v>
      </c>
    </row>
    <row r="478" spans="1:8" ht="15.75" customHeight="1" x14ac:dyDescent="0.25">
      <c r="A478" s="13">
        <v>499478</v>
      </c>
      <c r="B478" s="13">
        <v>21033</v>
      </c>
      <c r="C478" s="13" t="s">
        <v>539</v>
      </c>
      <c r="D478" s="13">
        <v>5</v>
      </c>
      <c r="E478" s="14">
        <v>40237.534722222219</v>
      </c>
      <c r="F478" s="13">
        <v>2.95</v>
      </c>
      <c r="G478"/>
      <c r="H478" s="13" t="s">
        <v>9</v>
      </c>
    </row>
    <row r="479" spans="1:8" ht="15.75" customHeight="1" x14ac:dyDescent="0.25">
      <c r="A479" s="13">
        <v>526217</v>
      </c>
      <c r="B479" s="13" t="s">
        <v>540</v>
      </c>
      <c r="C479" s="13" t="s">
        <v>541</v>
      </c>
      <c r="D479" s="13">
        <v>1</v>
      </c>
      <c r="E479" s="14">
        <v>40461.604166666657</v>
      </c>
      <c r="F479" s="13">
        <v>5.95</v>
      </c>
      <c r="G479" s="13">
        <v>14390</v>
      </c>
      <c r="H479" s="13" t="s">
        <v>9</v>
      </c>
    </row>
    <row r="480" spans="1:8" ht="15.75" customHeight="1" x14ac:dyDescent="0.25">
      <c r="A480" s="13">
        <v>497235</v>
      </c>
      <c r="B480" s="13">
        <v>21621</v>
      </c>
      <c r="C480" s="13" t="s">
        <v>524</v>
      </c>
      <c r="D480" s="13">
        <v>2</v>
      </c>
      <c r="E480" s="14">
        <v>40217.424305555563</v>
      </c>
      <c r="F480" s="13">
        <v>8.5</v>
      </c>
      <c r="G480" s="13">
        <v>18223</v>
      </c>
      <c r="H480" s="13" t="s">
        <v>9</v>
      </c>
    </row>
    <row r="481" spans="1:8" ht="15.75" customHeight="1" x14ac:dyDescent="0.25">
      <c r="A481" s="13">
        <v>497808</v>
      </c>
      <c r="B481" s="13">
        <v>22030</v>
      </c>
      <c r="C481" s="13" t="s">
        <v>448</v>
      </c>
      <c r="D481" s="13">
        <v>12</v>
      </c>
      <c r="E481" s="14">
        <v>40221.604861111111</v>
      </c>
      <c r="F481" s="13">
        <v>0.42</v>
      </c>
      <c r="G481" s="13">
        <v>17226</v>
      </c>
      <c r="H481" s="13" t="s">
        <v>9</v>
      </c>
    </row>
    <row r="482" spans="1:8" ht="15.75" customHeight="1" x14ac:dyDescent="0.25">
      <c r="A482" s="13">
        <v>511362</v>
      </c>
      <c r="B482" s="13" t="s">
        <v>542</v>
      </c>
      <c r="C482" s="13" t="s">
        <v>543</v>
      </c>
      <c r="D482" s="13">
        <v>4</v>
      </c>
      <c r="E482" s="14">
        <v>40337.468055555553</v>
      </c>
      <c r="F482" s="13">
        <v>7.95</v>
      </c>
      <c r="G482" s="13">
        <v>15039</v>
      </c>
      <c r="H482" s="13" t="s">
        <v>9</v>
      </c>
    </row>
    <row r="483" spans="1:8" ht="15.75" customHeight="1" x14ac:dyDescent="0.25">
      <c r="A483" s="13" t="s">
        <v>544</v>
      </c>
      <c r="B483" s="13">
        <v>22750</v>
      </c>
      <c r="C483" s="13" t="s">
        <v>545</v>
      </c>
      <c r="D483" s="13">
        <v>-4</v>
      </c>
      <c r="E483" s="14">
        <v>40431.463194444441</v>
      </c>
      <c r="F483" s="13">
        <v>3.75</v>
      </c>
      <c r="G483" s="13">
        <v>12921</v>
      </c>
      <c r="H483" s="13" t="s">
        <v>9</v>
      </c>
    </row>
    <row r="484" spans="1:8" ht="15.75" customHeight="1" x14ac:dyDescent="0.25">
      <c r="A484" s="13">
        <v>514108</v>
      </c>
      <c r="B484" s="13">
        <v>22402</v>
      </c>
      <c r="C484" s="13" t="s">
        <v>546</v>
      </c>
      <c r="D484" s="13">
        <v>3</v>
      </c>
      <c r="E484" s="14">
        <v>40359.532638888893</v>
      </c>
      <c r="F484" s="13">
        <v>1.25</v>
      </c>
      <c r="G484" s="13">
        <v>13756</v>
      </c>
      <c r="H484" s="13" t="s">
        <v>9</v>
      </c>
    </row>
    <row r="485" spans="1:8" ht="15.75" customHeight="1" x14ac:dyDescent="0.25">
      <c r="A485" s="13">
        <v>505554</v>
      </c>
      <c r="B485" s="13">
        <v>48138</v>
      </c>
      <c r="C485" s="13" t="s">
        <v>183</v>
      </c>
      <c r="D485" s="13">
        <v>2</v>
      </c>
      <c r="E485" s="14">
        <v>40291.410416666673</v>
      </c>
      <c r="F485" s="13">
        <v>7.49</v>
      </c>
      <c r="G485" s="13">
        <v>12747</v>
      </c>
      <c r="H485" s="13" t="s">
        <v>9</v>
      </c>
    </row>
    <row r="486" spans="1:8" ht="15.75" customHeight="1" x14ac:dyDescent="0.25">
      <c r="A486" s="13">
        <v>527957</v>
      </c>
      <c r="B486" s="13">
        <v>21231</v>
      </c>
      <c r="C486" s="13" t="s">
        <v>493</v>
      </c>
      <c r="D486" s="13">
        <v>24</v>
      </c>
      <c r="E486" s="14">
        <v>40470.693055555559</v>
      </c>
      <c r="F486" s="13">
        <v>1.25</v>
      </c>
      <c r="G486" s="13">
        <v>13081</v>
      </c>
      <c r="H486" s="13" t="s">
        <v>132</v>
      </c>
    </row>
    <row r="487" spans="1:8" ht="15.75" customHeight="1" x14ac:dyDescent="0.25">
      <c r="A487" s="13">
        <v>491457</v>
      </c>
      <c r="B487" s="13">
        <v>21146</v>
      </c>
      <c r="C487" s="13" t="s">
        <v>547</v>
      </c>
      <c r="D487" s="13">
        <v>4</v>
      </c>
      <c r="E487" s="14">
        <v>40158.476388888892</v>
      </c>
      <c r="F487" s="13">
        <v>1.95</v>
      </c>
      <c r="G487" s="13">
        <v>15998</v>
      </c>
      <c r="H487" s="13" t="s">
        <v>9</v>
      </c>
    </row>
    <row r="488" spans="1:8" ht="15.75" customHeight="1" x14ac:dyDescent="0.25">
      <c r="A488" s="13">
        <v>517042</v>
      </c>
      <c r="B488" s="13">
        <v>22428</v>
      </c>
      <c r="C488" s="13" t="s">
        <v>548</v>
      </c>
      <c r="D488" s="13">
        <v>1</v>
      </c>
      <c r="E488" s="14">
        <v>40385.490277777782</v>
      </c>
      <c r="F488" s="13">
        <v>6.95</v>
      </c>
      <c r="G488" s="13">
        <v>13069</v>
      </c>
      <c r="H488" s="13" t="s">
        <v>9</v>
      </c>
    </row>
    <row r="489" spans="1:8" ht="15.75" customHeight="1" x14ac:dyDescent="0.25">
      <c r="A489" s="13">
        <v>521974</v>
      </c>
      <c r="B489" s="13">
        <v>22352</v>
      </c>
      <c r="C489" s="13" t="s">
        <v>549</v>
      </c>
      <c r="D489" s="13">
        <v>2</v>
      </c>
      <c r="E489" s="14">
        <v>40430.830555555563</v>
      </c>
      <c r="F489" s="13">
        <v>2.5499999999999998</v>
      </c>
      <c r="G489" s="13">
        <v>15861</v>
      </c>
      <c r="H489" s="13" t="s">
        <v>9</v>
      </c>
    </row>
    <row r="490" spans="1:8" ht="15.75" customHeight="1" x14ac:dyDescent="0.25">
      <c r="A490" s="13">
        <v>530434</v>
      </c>
      <c r="B490" s="13">
        <v>21914</v>
      </c>
      <c r="C490" s="13" t="s">
        <v>550</v>
      </c>
      <c r="D490" s="13">
        <v>24</v>
      </c>
      <c r="E490" s="14">
        <v>40485.449305555558</v>
      </c>
      <c r="F490" s="13">
        <v>1.25</v>
      </c>
      <c r="G490" s="13">
        <v>17511</v>
      </c>
      <c r="H490" s="13" t="s">
        <v>9</v>
      </c>
    </row>
    <row r="491" spans="1:8" ht="15.75" customHeight="1" x14ac:dyDescent="0.25">
      <c r="A491" s="13">
        <v>510429</v>
      </c>
      <c r="B491" s="13">
        <v>22521</v>
      </c>
      <c r="C491" s="13" t="s">
        <v>551</v>
      </c>
      <c r="D491" s="13">
        <v>4</v>
      </c>
      <c r="E491" s="14">
        <v>40328.538194444453</v>
      </c>
      <c r="F491" s="13">
        <v>0.85</v>
      </c>
      <c r="G491" s="13">
        <v>17618</v>
      </c>
      <c r="H491" s="13" t="s">
        <v>9</v>
      </c>
    </row>
    <row r="492" spans="1:8" ht="15.75" customHeight="1" x14ac:dyDescent="0.25">
      <c r="A492" s="13">
        <v>518484</v>
      </c>
      <c r="B492" s="13">
        <v>20910</v>
      </c>
      <c r="C492" s="13" t="s">
        <v>552</v>
      </c>
      <c r="D492" s="13">
        <v>1</v>
      </c>
      <c r="E492" s="14">
        <v>40399.518750000003</v>
      </c>
      <c r="F492" s="13">
        <v>6.35</v>
      </c>
      <c r="G492" s="13">
        <v>17841</v>
      </c>
      <c r="H492" s="13" t="s">
        <v>9</v>
      </c>
    </row>
    <row r="493" spans="1:8" ht="15.75" customHeight="1" x14ac:dyDescent="0.25">
      <c r="A493" s="13">
        <v>519927</v>
      </c>
      <c r="B493" s="13" t="s">
        <v>553</v>
      </c>
      <c r="C493" s="13" t="s">
        <v>554</v>
      </c>
      <c r="D493" s="13">
        <v>48</v>
      </c>
      <c r="E493" s="14">
        <v>40412.633333333331</v>
      </c>
      <c r="F493" s="13">
        <v>0.42</v>
      </c>
      <c r="G493" s="13">
        <v>17095</v>
      </c>
      <c r="H493" s="13" t="s">
        <v>9</v>
      </c>
    </row>
    <row r="494" spans="1:8" ht="15.75" customHeight="1" x14ac:dyDescent="0.25">
      <c r="A494" s="13">
        <v>515012</v>
      </c>
      <c r="B494" s="13">
        <v>22026</v>
      </c>
      <c r="C494" s="13" t="s">
        <v>555</v>
      </c>
      <c r="D494" s="13">
        <v>12</v>
      </c>
      <c r="E494" s="14">
        <v>40366.676388888889</v>
      </c>
      <c r="F494" s="13">
        <v>0.42</v>
      </c>
      <c r="G494" s="13">
        <v>15581</v>
      </c>
      <c r="H494" s="13" t="s">
        <v>9</v>
      </c>
    </row>
    <row r="495" spans="1:8" ht="15.75" customHeight="1" x14ac:dyDescent="0.25">
      <c r="A495" s="13">
        <v>497739</v>
      </c>
      <c r="B495" s="13">
        <v>21171</v>
      </c>
      <c r="C495" s="13" t="s">
        <v>556</v>
      </c>
      <c r="D495" s="13">
        <v>1</v>
      </c>
      <c r="E495" s="14">
        <v>40221.431250000001</v>
      </c>
      <c r="F495" s="13">
        <v>1.45</v>
      </c>
      <c r="G495" s="13">
        <v>14606</v>
      </c>
      <c r="H495" s="13" t="s">
        <v>132</v>
      </c>
    </row>
    <row r="496" spans="1:8" ht="15.75" customHeight="1" x14ac:dyDescent="0.25">
      <c r="A496" s="13">
        <v>516273</v>
      </c>
      <c r="B496" s="13" t="s">
        <v>557</v>
      </c>
      <c r="C496" s="13" t="s">
        <v>200</v>
      </c>
      <c r="D496" s="13">
        <v>2</v>
      </c>
      <c r="E496" s="14">
        <v>40378.530555555553</v>
      </c>
      <c r="F496" s="13">
        <v>7.49</v>
      </c>
      <c r="G496" s="13">
        <v>14978</v>
      </c>
      <c r="H496" s="13" t="s">
        <v>9</v>
      </c>
    </row>
    <row r="497" spans="1:8" ht="15.75" customHeight="1" x14ac:dyDescent="0.25">
      <c r="A497" s="13">
        <v>495289</v>
      </c>
      <c r="B497" s="13">
        <v>22319</v>
      </c>
      <c r="C497" s="13" t="s">
        <v>558</v>
      </c>
      <c r="D497" s="13">
        <v>12</v>
      </c>
      <c r="E497" s="14">
        <v>40200.525694444441</v>
      </c>
      <c r="F497" s="13">
        <v>0.65</v>
      </c>
      <c r="G497" s="13">
        <v>17519</v>
      </c>
      <c r="H497" s="13" t="s">
        <v>9</v>
      </c>
    </row>
    <row r="498" spans="1:8" ht="15.75" customHeight="1" x14ac:dyDescent="0.25">
      <c r="A498" s="13">
        <v>535088</v>
      </c>
      <c r="B498" s="13">
        <v>21174</v>
      </c>
      <c r="C498" s="13" t="s">
        <v>521</v>
      </c>
      <c r="D498" s="13">
        <v>12</v>
      </c>
      <c r="E498" s="14">
        <v>40507.420138888891</v>
      </c>
      <c r="F498" s="13">
        <v>1.95</v>
      </c>
      <c r="G498" s="13">
        <v>17167</v>
      </c>
      <c r="H498" s="13" t="s">
        <v>9</v>
      </c>
    </row>
    <row r="499" spans="1:8" ht="15.75" customHeight="1" x14ac:dyDescent="0.25">
      <c r="A499" s="13">
        <v>533074</v>
      </c>
      <c r="B499" s="13">
        <v>21814</v>
      </c>
      <c r="C499" s="13" t="s">
        <v>559</v>
      </c>
      <c r="D499" s="13">
        <v>12</v>
      </c>
      <c r="E499" s="14">
        <v>40498.327777777777</v>
      </c>
      <c r="F499" s="13">
        <v>1.25</v>
      </c>
      <c r="G499" s="13">
        <v>14298</v>
      </c>
      <c r="H499" s="13" t="s">
        <v>9</v>
      </c>
    </row>
    <row r="500" spans="1:8" ht="15.75" customHeight="1" x14ac:dyDescent="0.25">
      <c r="A500" s="13" t="s">
        <v>560</v>
      </c>
      <c r="B500" s="13">
        <v>21869</v>
      </c>
      <c r="C500" s="13" t="s">
        <v>561</v>
      </c>
      <c r="D500" s="13">
        <v>3</v>
      </c>
      <c r="E500" s="13" t="s">
        <v>562</v>
      </c>
      <c r="F500" s="13">
        <v>1.25</v>
      </c>
      <c r="G500" s="13">
        <v>16731</v>
      </c>
      <c r="H500" s="13" t="s">
        <v>9</v>
      </c>
    </row>
    <row r="501" spans="1:8" ht="15.75" customHeight="1" x14ac:dyDescent="0.25">
      <c r="A501" s="13">
        <v>526510</v>
      </c>
      <c r="B501" s="13">
        <v>21868</v>
      </c>
      <c r="C501" s="13" t="s">
        <v>563</v>
      </c>
      <c r="D501" s="13">
        <v>12</v>
      </c>
      <c r="E501" s="14">
        <v>40463.453472222223</v>
      </c>
      <c r="F501" s="13">
        <v>1.25</v>
      </c>
      <c r="G501" s="13">
        <v>13299</v>
      </c>
      <c r="H501" s="13" t="s">
        <v>9</v>
      </c>
    </row>
    <row r="502" spans="1:8" ht="15.75" customHeight="1" x14ac:dyDescent="0.25">
      <c r="A502" s="13">
        <v>493375</v>
      </c>
      <c r="B502" s="13">
        <v>22303</v>
      </c>
      <c r="C502" s="13" t="s">
        <v>173</v>
      </c>
      <c r="D502" s="13">
        <v>6</v>
      </c>
      <c r="E502" s="14">
        <v>40170.504861111112</v>
      </c>
      <c r="F502" s="13">
        <v>2.5499999999999998</v>
      </c>
      <c r="G502" s="13">
        <v>15514</v>
      </c>
      <c r="H502" s="13" t="s">
        <v>132</v>
      </c>
    </row>
    <row r="503" spans="1:8" ht="15.75" customHeight="1" x14ac:dyDescent="0.25">
      <c r="A503" s="13">
        <v>534465</v>
      </c>
      <c r="B503" s="13">
        <v>22762</v>
      </c>
      <c r="C503" s="13" t="s">
        <v>564</v>
      </c>
      <c r="D503" s="13">
        <v>1</v>
      </c>
      <c r="E503" s="14">
        <v>40505.419444444437</v>
      </c>
      <c r="F503" s="13">
        <v>14.95</v>
      </c>
      <c r="G503" s="13">
        <v>16821</v>
      </c>
      <c r="H503" s="13" t="s">
        <v>9</v>
      </c>
    </row>
    <row r="504" spans="1:8" ht="15.75" customHeight="1" x14ac:dyDescent="0.25">
      <c r="A504" s="13">
        <v>513769</v>
      </c>
      <c r="B504" s="13">
        <v>22711</v>
      </c>
      <c r="C504" s="13" t="s">
        <v>565</v>
      </c>
      <c r="D504" s="13">
        <v>25</v>
      </c>
      <c r="E504" s="14">
        <v>40357.572222222218</v>
      </c>
      <c r="F504" s="13">
        <v>0.42</v>
      </c>
      <c r="G504" s="13">
        <v>12701</v>
      </c>
      <c r="H504" s="13" t="s">
        <v>17</v>
      </c>
    </row>
    <row r="505" spans="1:8" ht="15.75" customHeight="1" x14ac:dyDescent="0.25">
      <c r="A505" s="13">
        <v>534786</v>
      </c>
      <c r="B505" s="13">
        <v>22113</v>
      </c>
      <c r="C505" s="13" t="s">
        <v>146</v>
      </c>
      <c r="D505" s="13">
        <v>1</v>
      </c>
      <c r="E505" s="14">
        <v>40506.472916666673</v>
      </c>
      <c r="F505" s="13">
        <v>3.75</v>
      </c>
      <c r="G505" s="13">
        <v>15854</v>
      </c>
      <c r="H505" s="13" t="s">
        <v>9</v>
      </c>
    </row>
    <row r="506" spans="1:8" ht="15.75" customHeight="1" x14ac:dyDescent="0.25">
      <c r="A506" s="13">
        <v>529981</v>
      </c>
      <c r="B506" s="13">
        <v>22587</v>
      </c>
      <c r="C506" s="13" t="s">
        <v>566</v>
      </c>
      <c r="D506" s="13" t="s">
        <v>330</v>
      </c>
      <c r="E506" s="14">
        <v>40482.646527777782</v>
      </c>
      <c r="F506" s="13">
        <v>0.85</v>
      </c>
      <c r="G506" s="13">
        <v>16686</v>
      </c>
      <c r="H506" s="13" t="s">
        <v>9</v>
      </c>
    </row>
    <row r="507" spans="1:8" ht="15.75" customHeight="1" x14ac:dyDescent="0.25">
      <c r="A507" s="13" t="s">
        <v>567</v>
      </c>
      <c r="B507" s="13">
        <v>37503</v>
      </c>
      <c r="C507" s="13" t="s">
        <v>288</v>
      </c>
      <c r="D507" s="13">
        <v>2</v>
      </c>
      <c r="E507" s="14">
        <v>40305.538888888892</v>
      </c>
      <c r="F507" s="13">
        <v>10.75</v>
      </c>
      <c r="G507" s="13">
        <v>13890</v>
      </c>
      <c r="H507" s="13" t="s">
        <v>9</v>
      </c>
    </row>
    <row r="508" spans="1:8" ht="15.75" customHeight="1" x14ac:dyDescent="0.25">
      <c r="A508" s="13">
        <v>502633</v>
      </c>
      <c r="B508" s="13">
        <v>37370</v>
      </c>
      <c r="C508" s="13" t="s">
        <v>316</v>
      </c>
      <c r="D508" s="13">
        <v>12</v>
      </c>
      <c r="E508" s="14">
        <v>40262.679861111108</v>
      </c>
      <c r="F508" s="13">
        <v>1.25</v>
      </c>
      <c r="G508" s="13">
        <v>12510</v>
      </c>
      <c r="H508" s="13" t="s">
        <v>568</v>
      </c>
    </row>
    <row r="509" spans="1:8" ht="15.75" customHeight="1" x14ac:dyDescent="0.25">
      <c r="A509" s="13">
        <v>504873</v>
      </c>
      <c r="B509" s="13">
        <v>21676</v>
      </c>
      <c r="C509" s="13" t="s">
        <v>569</v>
      </c>
      <c r="D509" s="13">
        <v>12</v>
      </c>
      <c r="E509" s="14">
        <v>40286.525000000001</v>
      </c>
      <c r="F509" s="13">
        <v>0.85</v>
      </c>
      <c r="G509" s="13">
        <v>14817</v>
      </c>
      <c r="H509" s="13" t="s">
        <v>9</v>
      </c>
    </row>
    <row r="510" spans="1:8" ht="15.75" customHeight="1" x14ac:dyDescent="0.25">
      <c r="A510" s="13">
        <v>510047</v>
      </c>
      <c r="B510" s="13">
        <v>47480</v>
      </c>
      <c r="C510" s="13" t="s">
        <v>570</v>
      </c>
      <c r="D510" s="13">
        <v>96</v>
      </c>
      <c r="E510" s="14">
        <v>40324.720138888893</v>
      </c>
      <c r="F510" s="13">
        <v>1.45</v>
      </c>
      <c r="G510" s="13">
        <v>15856</v>
      </c>
      <c r="H510" s="13" t="s">
        <v>9</v>
      </c>
    </row>
    <row r="511" spans="1:8" ht="15.75" customHeight="1" x14ac:dyDescent="0.25">
      <c r="A511" s="13">
        <v>528642</v>
      </c>
      <c r="B511" s="13">
        <v>22865</v>
      </c>
      <c r="C511" s="13" t="s">
        <v>428</v>
      </c>
      <c r="D511" s="13">
        <v>12</v>
      </c>
      <c r="E511" s="14">
        <v>40475.493055555547</v>
      </c>
      <c r="F511" s="13">
        <v>2.1</v>
      </c>
      <c r="G511" s="13">
        <v>13295</v>
      </c>
      <c r="H511" s="13" t="s">
        <v>9</v>
      </c>
    </row>
    <row r="512" spans="1:8" ht="15.75" customHeight="1" x14ac:dyDescent="0.25">
      <c r="A512" s="13">
        <v>527358</v>
      </c>
      <c r="B512" s="13">
        <v>22795</v>
      </c>
      <c r="C512" s="13" t="s">
        <v>571</v>
      </c>
      <c r="D512" s="13">
        <v>2</v>
      </c>
      <c r="E512" s="14">
        <v>40468.445833333331</v>
      </c>
      <c r="F512" s="13">
        <v>6.75</v>
      </c>
      <c r="G512" s="13">
        <v>16782</v>
      </c>
      <c r="H512" s="13" t="s">
        <v>9</v>
      </c>
    </row>
    <row r="513" spans="1:8" ht="15.75" customHeight="1" x14ac:dyDescent="0.25">
      <c r="A513" s="13">
        <v>520885</v>
      </c>
      <c r="B513" s="13">
        <v>22710</v>
      </c>
      <c r="C513" s="13" t="s">
        <v>572</v>
      </c>
      <c r="D513" s="13">
        <v>25</v>
      </c>
      <c r="E513" s="14">
        <v>40421.681250000001</v>
      </c>
      <c r="F513" s="13">
        <v>0.42</v>
      </c>
      <c r="G513" s="13">
        <v>14040</v>
      </c>
      <c r="H513" s="13" t="s">
        <v>9</v>
      </c>
    </row>
    <row r="514" spans="1:8" ht="15.75" customHeight="1" x14ac:dyDescent="0.25">
      <c r="A514" s="13">
        <v>499988</v>
      </c>
      <c r="B514" s="13">
        <v>21717</v>
      </c>
      <c r="C514" s="13" t="s">
        <v>573</v>
      </c>
      <c r="D514" s="13">
        <v>24</v>
      </c>
      <c r="E514" s="14">
        <v>40240.681250000001</v>
      </c>
      <c r="F514" s="13">
        <v>2.5499999999999998</v>
      </c>
      <c r="G514" s="13">
        <v>13654</v>
      </c>
      <c r="H514" s="13" t="s">
        <v>9</v>
      </c>
    </row>
    <row r="515" spans="1:8" ht="15.75" customHeight="1" x14ac:dyDescent="0.25">
      <c r="A515" s="13">
        <v>529888</v>
      </c>
      <c r="B515" s="13">
        <v>21915</v>
      </c>
      <c r="C515" s="13" t="s">
        <v>347</v>
      </c>
      <c r="D515" s="13">
        <v>3</v>
      </c>
      <c r="E515" s="14">
        <v>40482.587500000001</v>
      </c>
      <c r="F515" s="13">
        <v>1.25</v>
      </c>
      <c r="G515" s="13">
        <v>16595</v>
      </c>
      <c r="H515" s="13" t="s">
        <v>9</v>
      </c>
    </row>
    <row r="516" spans="1:8" ht="15.75" customHeight="1" x14ac:dyDescent="0.25">
      <c r="A516" s="13">
        <v>522424</v>
      </c>
      <c r="B516" s="13">
        <v>21217</v>
      </c>
      <c r="C516" s="13" t="s">
        <v>574</v>
      </c>
      <c r="D516" s="13">
        <v>1</v>
      </c>
      <c r="E516" s="14">
        <v>40435.540277777778</v>
      </c>
      <c r="F516" s="13">
        <v>9.9499999999999993</v>
      </c>
      <c r="G516" s="13">
        <v>12476</v>
      </c>
      <c r="H516" s="13" t="s">
        <v>17</v>
      </c>
    </row>
    <row r="517" spans="1:8" ht="15.75" customHeight="1" x14ac:dyDescent="0.25">
      <c r="A517" s="13">
        <v>509187</v>
      </c>
      <c r="B517" s="13">
        <v>22644</v>
      </c>
      <c r="C517" s="13" t="s">
        <v>461</v>
      </c>
      <c r="D517" s="13" t="s">
        <v>120</v>
      </c>
      <c r="E517" s="14">
        <v>40318.708333333343</v>
      </c>
      <c r="F517" s="13">
        <v>1.45</v>
      </c>
      <c r="G517" s="13">
        <v>15826</v>
      </c>
      <c r="H517" s="13" t="s">
        <v>9</v>
      </c>
    </row>
    <row r="518" spans="1:8" ht="15.75" customHeight="1" x14ac:dyDescent="0.25">
      <c r="A518" s="13">
        <v>527445</v>
      </c>
      <c r="B518" s="13">
        <v>22367</v>
      </c>
      <c r="C518" s="13" t="s">
        <v>296</v>
      </c>
      <c r="D518" s="13">
        <v>8</v>
      </c>
      <c r="E518" s="14">
        <v>40469.397916666669</v>
      </c>
      <c r="F518" s="13">
        <v>1.95</v>
      </c>
      <c r="G518" s="13">
        <v>14741</v>
      </c>
      <c r="H518" s="13" t="s">
        <v>9</v>
      </c>
    </row>
    <row r="519" spans="1:8" ht="15.75" customHeight="1" x14ac:dyDescent="0.25">
      <c r="A519" s="13">
        <v>516922</v>
      </c>
      <c r="B519" s="13">
        <v>37474</v>
      </c>
      <c r="C519" s="13" t="s">
        <v>575</v>
      </c>
      <c r="D519" s="13">
        <v>1</v>
      </c>
      <c r="E519" s="14">
        <v>40384.490277777782</v>
      </c>
      <c r="F519" s="13">
        <v>9.9499999999999993</v>
      </c>
      <c r="G519" s="13">
        <v>15727</v>
      </c>
      <c r="H519" s="13" t="s">
        <v>9</v>
      </c>
    </row>
    <row r="520" spans="1:8" ht="15.75" customHeight="1" x14ac:dyDescent="0.25">
      <c r="A520" s="13">
        <v>527939</v>
      </c>
      <c r="B520" s="13">
        <v>15036</v>
      </c>
      <c r="C520" s="13" t="s">
        <v>576</v>
      </c>
      <c r="D520" s="13">
        <v>12</v>
      </c>
      <c r="E520" s="14">
        <v>40470.589583333327</v>
      </c>
      <c r="F520" s="13">
        <v>0.75</v>
      </c>
      <c r="G520" s="13">
        <v>14301</v>
      </c>
      <c r="H520" s="13" t="s">
        <v>9</v>
      </c>
    </row>
    <row r="521" spans="1:8" ht="15.75" customHeight="1" x14ac:dyDescent="0.25">
      <c r="A521" s="13">
        <v>510743</v>
      </c>
      <c r="B521" s="13">
        <v>21179</v>
      </c>
      <c r="C521" s="13" t="s">
        <v>194</v>
      </c>
      <c r="D521" s="13">
        <v>12</v>
      </c>
      <c r="E521" s="14">
        <v>40332.520833333343</v>
      </c>
      <c r="F521" s="13">
        <v>1.25</v>
      </c>
      <c r="G521" s="13">
        <v>14911</v>
      </c>
      <c r="H521" s="13" t="s">
        <v>11</v>
      </c>
    </row>
    <row r="522" spans="1:8" ht="15.75" customHeight="1" x14ac:dyDescent="0.25">
      <c r="A522" s="13">
        <v>498757</v>
      </c>
      <c r="B522" s="13">
        <v>20754</v>
      </c>
      <c r="C522" s="13" t="s">
        <v>189</v>
      </c>
      <c r="D522" s="13">
        <v>2</v>
      </c>
      <c r="E522" s="14">
        <v>40231.700694444437</v>
      </c>
      <c r="F522" s="13">
        <v>2.1</v>
      </c>
      <c r="G522" s="13">
        <v>14030</v>
      </c>
      <c r="H522" s="13" t="s">
        <v>9</v>
      </c>
    </row>
    <row r="523" spans="1:8" ht="15.75" customHeight="1" x14ac:dyDescent="0.25">
      <c r="A523" s="13">
        <v>508486</v>
      </c>
      <c r="B523" s="13" t="s">
        <v>577</v>
      </c>
      <c r="C523" s="13" t="s">
        <v>578</v>
      </c>
      <c r="D523" s="13">
        <v>12</v>
      </c>
      <c r="E523" s="13" t="s">
        <v>579</v>
      </c>
      <c r="F523" s="13">
        <v>0.85</v>
      </c>
      <c r="G523" s="13">
        <v>16456</v>
      </c>
      <c r="H523" s="13" t="s">
        <v>9</v>
      </c>
    </row>
    <row r="524" spans="1:8" ht="15.75" customHeight="1" x14ac:dyDescent="0.25">
      <c r="A524" s="13">
        <v>538064</v>
      </c>
      <c r="B524" s="13" t="s">
        <v>580</v>
      </c>
      <c r="C524" s="13" t="s">
        <v>581</v>
      </c>
      <c r="D524" s="13">
        <v>1</v>
      </c>
      <c r="E524" s="14">
        <v>40521.574305555558</v>
      </c>
      <c r="F524" s="13">
        <v>1.25</v>
      </c>
      <c r="G524" s="13">
        <v>15271</v>
      </c>
      <c r="H524" s="13" t="s">
        <v>9</v>
      </c>
    </row>
    <row r="525" spans="1:8" ht="15.75" customHeight="1" x14ac:dyDescent="0.25">
      <c r="A525" s="13">
        <v>529843</v>
      </c>
      <c r="B525" s="13">
        <v>21051</v>
      </c>
      <c r="C525" s="13" t="s">
        <v>582</v>
      </c>
      <c r="D525" s="13">
        <v>2</v>
      </c>
      <c r="E525" s="14">
        <v>40482.538888888892</v>
      </c>
      <c r="F525" s="13">
        <v>2.1</v>
      </c>
      <c r="G525" s="13">
        <v>16065</v>
      </c>
      <c r="H525" s="13" t="s">
        <v>9</v>
      </c>
    </row>
    <row r="526" spans="1:8" ht="15.75" customHeight="1" x14ac:dyDescent="0.25">
      <c r="A526" s="13">
        <v>511501</v>
      </c>
      <c r="B526" s="13">
        <v>21109</v>
      </c>
      <c r="C526" s="13" t="s">
        <v>583</v>
      </c>
      <c r="D526" s="13">
        <v>1</v>
      </c>
      <c r="E526" s="14">
        <v>40337.619444444441</v>
      </c>
      <c r="F526" s="13">
        <v>6.75</v>
      </c>
      <c r="G526" s="13">
        <v>15532</v>
      </c>
    </row>
    <row r="527" spans="1:8" ht="15.75" customHeight="1" x14ac:dyDescent="0.25">
      <c r="A527" s="13">
        <v>512400</v>
      </c>
      <c r="B527" s="13">
        <v>21934</v>
      </c>
      <c r="C527" s="13" t="s">
        <v>474</v>
      </c>
      <c r="D527" s="13">
        <v>10</v>
      </c>
      <c r="E527" s="14">
        <v>40344.524305555547</v>
      </c>
      <c r="F527" s="13">
        <v>1.65</v>
      </c>
      <c r="G527" s="13">
        <v>13297</v>
      </c>
      <c r="H527" s="13" t="s">
        <v>9</v>
      </c>
    </row>
    <row r="528" spans="1:8" ht="15.75" customHeight="1" x14ac:dyDescent="0.25">
      <c r="A528" s="13">
        <v>490674</v>
      </c>
      <c r="B528" s="13" t="s">
        <v>584</v>
      </c>
      <c r="C528" s="13" t="s">
        <v>585</v>
      </c>
      <c r="D528" s="13">
        <v>2</v>
      </c>
      <c r="E528" s="14">
        <v>40154.54583333333</v>
      </c>
      <c r="F528" s="13">
        <v>12.75</v>
      </c>
      <c r="G528" s="13">
        <v>14307</v>
      </c>
      <c r="H528" s="13" t="s">
        <v>9</v>
      </c>
    </row>
    <row r="529" spans="1:8" ht="15.75" customHeight="1" x14ac:dyDescent="0.25">
      <c r="A529" s="13">
        <v>508079</v>
      </c>
      <c r="B529" s="13">
        <v>22435</v>
      </c>
      <c r="C529" s="13" t="s">
        <v>107</v>
      </c>
      <c r="D529" s="13">
        <v>10</v>
      </c>
      <c r="E529" s="14">
        <v>40310.695833333331</v>
      </c>
      <c r="F529" s="13">
        <v>1.25</v>
      </c>
      <c r="G529" s="13">
        <v>17092</v>
      </c>
      <c r="H529" s="13" t="s">
        <v>9</v>
      </c>
    </row>
    <row r="530" spans="1:8" ht="15.75" customHeight="1" x14ac:dyDescent="0.25">
      <c r="A530" s="13" t="s">
        <v>586</v>
      </c>
      <c r="B530" s="13">
        <v>20713</v>
      </c>
      <c r="C530" s="13" t="s">
        <v>587</v>
      </c>
      <c r="D530" s="13">
        <v>10</v>
      </c>
      <c r="E530" s="13" t="s">
        <v>588</v>
      </c>
      <c r="F530" s="13">
        <v>1.95</v>
      </c>
      <c r="G530" s="13">
        <v>15750</v>
      </c>
      <c r="H530" s="13" t="s">
        <v>9</v>
      </c>
    </row>
    <row r="531" spans="1:8" ht="15.75" customHeight="1" x14ac:dyDescent="0.25">
      <c r="A531" s="13">
        <v>494798</v>
      </c>
      <c r="B531" s="13">
        <v>22218</v>
      </c>
      <c r="C531" s="13" t="s">
        <v>589</v>
      </c>
      <c r="D531" s="13">
        <v>1</v>
      </c>
      <c r="E531" s="14">
        <v>40196.605555555558</v>
      </c>
      <c r="F531" s="13">
        <v>4.25</v>
      </c>
      <c r="G531" s="13">
        <v>17773</v>
      </c>
      <c r="H531" s="13" t="s">
        <v>9</v>
      </c>
    </row>
    <row r="532" spans="1:8" ht="15.75" customHeight="1" x14ac:dyDescent="0.25">
      <c r="A532" s="13">
        <v>533736</v>
      </c>
      <c r="B532" s="13">
        <v>21892</v>
      </c>
      <c r="C532" s="13" t="s">
        <v>86</v>
      </c>
      <c r="D532" s="13">
        <v>1</v>
      </c>
      <c r="E532" s="14">
        <v>40500.57708333333</v>
      </c>
      <c r="F532" s="13">
        <v>1.25</v>
      </c>
      <c r="G532" s="13">
        <v>16089</v>
      </c>
      <c r="H532" s="13" t="s">
        <v>9</v>
      </c>
    </row>
    <row r="533" spans="1:8" ht="15.75" customHeight="1" x14ac:dyDescent="0.25">
      <c r="A533" s="13">
        <v>490072</v>
      </c>
      <c r="B533" s="13">
        <v>22297</v>
      </c>
      <c r="C533" s="13" t="s">
        <v>581</v>
      </c>
      <c r="D533" s="13">
        <v>3</v>
      </c>
      <c r="E533" s="14">
        <v>40150.602777777778</v>
      </c>
      <c r="F533" s="13">
        <v>1.25</v>
      </c>
      <c r="G533" s="13">
        <v>17764</v>
      </c>
      <c r="H533" s="13" t="s">
        <v>9</v>
      </c>
    </row>
    <row r="534" spans="1:8" ht="15.75" customHeight="1" x14ac:dyDescent="0.25">
      <c r="A534" s="13">
        <v>500362</v>
      </c>
      <c r="B534" s="13" t="s">
        <v>232</v>
      </c>
      <c r="C534" s="13" t="s">
        <v>590</v>
      </c>
      <c r="D534" s="13">
        <v>4</v>
      </c>
      <c r="E534" s="14">
        <v>40244.675000000003</v>
      </c>
      <c r="F534" s="13">
        <v>2.95</v>
      </c>
      <c r="G534" s="13">
        <v>17449</v>
      </c>
      <c r="H534" s="13" t="s">
        <v>9</v>
      </c>
    </row>
    <row r="535" spans="1:8" ht="15.75" customHeight="1" x14ac:dyDescent="0.25">
      <c r="A535" s="13">
        <v>508251</v>
      </c>
      <c r="B535" s="13">
        <v>21731</v>
      </c>
      <c r="C535" s="13" t="s">
        <v>96</v>
      </c>
      <c r="D535" s="13">
        <v>12</v>
      </c>
      <c r="E535" s="14">
        <v>40312.444444444453</v>
      </c>
      <c r="F535" s="13">
        <v>1.65</v>
      </c>
      <c r="G535" s="13">
        <v>13157</v>
      </c>
      <c r="H535" s="13" t="s">
        <v>9</v>
      </c>
    </row>
    <row r="536" spans="1:8" ht="15.75" customHeight="1" x14ac:dyDescent="0.25">
      <c r="A536" s="13">
        <v>518561</v>
      </c>
      <c r="B536" s="13">
        <v>21106</v>
      </c>
      <c r="C536" s="13" t="s">
        <v>591</v>
      </c>
      <c r="D536" s="13">
        <v>6</v>
      </c>
      <c r="E536" s="14">
        <v>40400.431944444441</v>
      </c>
      <c r="F536" s="13">
        <v>2.95</v>
      </c>
      <c r="G536" s="13">
        <v>17023</v>
      </c>
      <c r="H536" s="13" t="s">
        <v>9</v>
      </c>
    </row>
    <row r="537" spans="1:8" ht="15.75" customHeight="1" x14ac:dyDescent="0.25">
      <c r="A537" s="13">
        <v>516872</v>
      </c>
      <c r="B537" s="13">
        <v>48111</v>
      </c>
      <c r="C537" s="13" t="s">
        <v>200</v>
      </c>
      <c r="D537" s="13">
        <v>2</v>
      </c>
      <c r="E537" s="14">
        <v>40382.540972222218</v>
      </c>
      <c r="F537" s="13">
        <v>7.49</v>
      </c>
      <c r="G537" s="13">
        <v>13874</v>
      </c>
      <c r="H537" s="13" t="s">
        <v>9</v>
      </c>
    </row>
    <row r="538" spans="1:8" ht="15.75" customHeight="1" x14ac:dyDescent="0.25">
      <c r="A538" s="13">
        <v>512602</v>
      </c>
      <c r="B538" s="13">
        <v>21260</v>
      </c>
      <c r="C538" s="13" t="s">
        <v>202</v>
      </c>
      <c r="D538" s="13">
        <v>6</v>
      </c>
      <c r="E538" s="14">
        <v>40346.347222222219</v>
      </c>
      <c r="F538" s="13">
        <v>3.25</v>
      </c>
      <c r="G538" s="13">
        <v>16492</v>
      </c>
      <c r="H538" s="13" t="s">
        <v>9</v>
      </c>
    </row>
    <row r="539" spans="1:8" ht="15.75" customHeight="1" x14ac:dyDescent="0.25">
      <c r="A539" s="13">
        <v>511844</v>
      </c>
      <c r="B539" s="13">
        <v>22468</v>
      </c>
      <c r="C539" s="13" t="s">
        <v>592</v>
      </c>
      <c r="D539" s="13">
        <v>4</v>
      </c>
      <c r="E539" s="14">
        <v>40339.774305555547</v>
      </c>
      <c r="F539" s="13">
        <v>6.75</v>
      </c>
      <c r="G539" s="13">
        <v>16679</v>
      </c>
      <c r="H539" s="13" t="s">
        <v>9</v>
      </c>
    </row>
    <row r="540" spans="1:8" ht="15.75" customHeight="1" x14ac:dyDescent="0.25">
      <c r="A540" s="13">
        <v>522463</v>
      </c>
      <c r="B540" s="13">
        <v>20718</v>
      </c>
      <c r="C540" s="13" t="s">
        <v>593</v>
      </c>
      <c r="D540" s="13">
        <v>1</v>
      </c>
      <c r="E540" s="14">
        <v>40435.717361111107</v>
      </c>
      <c r="F540" s="13">
        <v>1.25</v>
      </c>
      <c r="G540" s="13">
        <v>14710</v>
      </c>
      <c r="H540" s="13" t="s">
        <v>9</v>
      </c>
    </row>
    <row r="541" spans="1:8" ht="15.75" customHeight="1" x14ac:dyDescent="0.25">
      <c r="A541" s="13">
        <v>506400</v>
      </c>
      <c r="B541" s="13" t="s">
        <v>594</v>
      </c>
      <c r="C541" s="13" t="s">
        <v>595</v>
      </c>
      <c r="D541" s="13">
        <v>10</v>
      </c>
      <c r="E541" s="14">
        <v>40297.565972222219</v>
      </c>
      <c r="F541" s="13">
        <v>1.95</v>
      </c>
      <c r="G541" s="13">
        <v>15954</v>
      </c>
      <c r="H541" s="13" t="s">
        <v>9</v>
      </c>
    </row>
    <row r="542" spans="1:8" ht="15.75" customHeight="1" x14ac:dyDescent="0.25">
      <c r="A542" s="13">
        <v>528615</v>
      </c>
      <c r="B542" s="13">
        <v>22736</v>
      </c>
      <c r="C542" s="13" t="s">
        <v>596</v>
      </c>
      <c r="D542" s="13">
        <v>1</v>
      </c>
      <c r="E542" s="14">
        <v>40473.691666666673</v>
      </c>
      <c r="F542" s="13">
        <v>1.65</v>
      </c>
      <c r="G542" s="13">
        <v>17231</v>
      </c>
      <c r="H542" s="13" t="s">
        <v>9</v>
      </c>
    </row>
    <row r="543" spans="1:8" ht="15.75" customHeight="1" x14ac:dyDescent="0.25">
      <c r="A543" s="13">
        <v>536038</v>
      </c>
      <c r="B543" s="13">
        <v>85178</v>
      </c>
      <c r="C543" s="13" t="s">
        <v>597</v>
      </c>
      <c r="D543" s="13">
        <v>3</v>
      </c>
      <c r="E543" s="14">
        <v>40511.71597222222</v>
      </c>
      <c r="F543" s="13">
        <v>1.25</v>
      </c>
      <c r="G543" s="13">
        <v>14130</v>
      </c>
      <c r="H543" s="13" t="s">
        <v>9</v>
      </c>
    </row>
    <row r="544" spans="1:8" ht="15.75" customHeight="1" x14ac:dyDescent="0.25">
      <c r="A544" s="13">
        <v>500844</v>
      </c>
      <c r="B544" s="13">
        <v>22286</v>
      </c>
      <c r="C544" s="13" t="s">
        <v>598</v>
      </c>
      <c r="D544" s="13">
        <v>2</v>
      </c>
      <c r="E544" s="14">
        <v>40247.511111111111</v>
      </c>
      <c r="F544" s="13">
        <v>1.65</v>
      </c>
      <c r="G544" s="13">
        <v>13413</v>
      </c>
      <c r="H544" s="13" t="s">
        <v>9</v>
      </c>
    </row>
    <row r="545" spans="1:8" ht="15.75" customHeight="1" x14ac:dyDescent="0.25">
      <c r="A545" s="13">
        <v>501133</v>
      </c>
      <c r="B545" s="13">
        <v>22236</v>
      </c>
      <c r="C545" s="13" t="s">
        <v>599</v>
      </c>
      <c r="D545" s="13">
        <v>2</v>
      </c>
      <c r="E545" s="14">
        <v>40251.423611111109</v>
      </c>
      <c r="F545" s="13">
        <v>12.75</v>
      </c>
      <c r="G545" s="13">
        <v>17920</v>
      </c>
      <c r="H545" s="13" t="s">
        <v>9</v>
      </c>
    </row>
    <row r="546" spans="1:8" ht="15.75" customHeight="1" x14ac:dyDescent="0.25">
      <c r="A546" s="13">
        <v>531947</v>
      </c>
      <c r="B546" s="13">
        <v>21463</v>
      </c>
      <c r="C546" s="13" t="s">
        <v>600</v>
      </c>
      <c r="D546" s="13">
        <v>4</v>
      </c>
      <c r="E546" s="14">
        <v>40492.511111111111</v>
      </c>
      <c r="F546" s="13">
        <v>5.95</v>
      </c>
      <c r="G546" s="13">
        <v>14390</v>
      </c>
      <c r="H546" s="13" t="s">
        <v>9</v>
      </c>
    </row>
    <row r="547" spans="1:8" ht="15.75" customHeight="1" x14ac:dyDescent="0.25">
      <c r="A547" s="13">
        <v>530085</v>
      </c>
      <c r="B547" s="13">
        <v>22577</v>
      </c>
      <c r="C547" s="13" t="s">
        <v>601</v>
      </c>
      <c r="D547" s="13">
        <v>1</v>
      </c>
      <c r="E547" s="14">
        <v>40483.55972222222</v>
      </c>
      <c r="F547" s="13">
        <v>0.85</v>
      </c>
      <c r="G547" s="13">
        <v>17315</v>
      </c>
      <c r="H547" s="13" t="s">
        <v>9</v>
      </c>
    </row>
    <row r="548" spans="1:8" ht="15.75" customHeight="1" x14ac:dyDescent="0.25">
      <c r="A548" s="13">
        <v>502617</v>
      </c>
      <c r="B548" s="13" t="s">
        <v>602</v>
      </c>
      <c r="C548" s="13" t="s">
        <v>603</v>
      </c>
      <c r="D548" s="13">
        <v>4</v>
      </c>
      <c r="E548" s="14">
        <v>40262.61041666667</v>
      </c>
      <c r="F548" s="13">
        <v>3.75</v>
      </c>
      <c r="G548" s="13">
        <v>15027</v>
      </c>
      <c r="H548" s="13" t="s">
        <v>9</v>
      </c>
    </row>
    <row r="549" spans="1:8" ht="15.75" customHeight="1" x14ac:dyDescent="0.25">
      <c r="A549" s="13">
        <v>536974</v>
      </c>
      <c r="B549" s="13" t="s">
        <v>604</v>
      </c>
      <c r="C549" s="13" t="s">
        <v>134</v>
      </c>
      <c r="D549" s="13">
        <v>2</v>
      </c>
      <c r="E549" s="14">
        <v>40515.582638888889</v>
      </c>
      <c r="F549" s="13">
        <v>7.95</v>
      </c>
      <c r="G549" s="13">
        <v>12682</v>
      </c>
      <c r="H549" s="13" t="s">
        <v>28</v>
      </c>
    </row>
    <row r="550" spans="1:8" ht="15.75" customHeight="1" x14ac:dyDescent="0.25">
      <c r="A550" s="13">
        <v>491633</v>
      </c>
      <c r="B550" s="13">
        <v>84987</v>
      </c>
      <c r="C550" s="13" t="s">
        <v>605</v>
      </c>
      <c r="D550" s="13">
        <v>2</v>
      </c>
      <c r="E550" s="14">
        <v>40158.650694444441</v>
      </c>
      <c r="F550" s="13">
        <v>1.45</v>
      </c>
      <c r="G550" s="13">
        <v>17958</v>
      </c>
      <c r="H550" s="13" t="s">
        <v>9</v>
      </c>
    </row>
    <row r="551" spans="1:8" ht="15.75" customHeight="1" x14ac:dyDescent="0.25">
      <c r="A551" s="13">
        <v>519005</v>
      </c>
      <c r="B551" s="13" t="s">
        <v>606</v>
      </c>
      <c r="C551" s="13" t="s">
        <v>607</v>
      </c>
      <c r="D551" s="13">
        <v>1</v>
      </c>
      <c r="E551" s="14">
        <v>40402.804166666669</v>
      </c>
      <c r="F551" s="13">
        <v>1.69</v>
      </c>
      <c r="G551" s="13">
        <v>16549</v>
      </c>
      <c r="H551" s="13" t="s">
        <v>9</v>
      </c>
    </row>
    <row r="552" spans="1:8" ht="15.75" customHeight="1" x14ac:dyDescent="0.25">
      <c r="A552" s="13">
        <v>519371</v>
      </c>
      <c r="B552" s="13">
        <v>22371</v>
      </c>
      <c r="C552" s="13" t="s">
        <v>608</v>
      </c>
      <c r="D552" s="13">
        <v>1</v>
      </c>
      <c r="E552" s="14">
        <v>40406.550000000003</v>
      </c>
      <c r="F552" s="13">
        <v>6.35</v>
      </c>
      <c r="G552" s="13">
        <v>14606</v>
      </c>
      <c r="H552" s="13" t="s">
        <v>9</v>
      </c>
    </row>
    <row r="553" spans="1:8" ht="15.75" customHeight="1" x14ac:dyDescent="0.25">
      <c r="A553" s="13">
        <v>494860</v>
      </c>
      <c r="B553" s="13">
        <v>84832</v>
      </c>
      <c r="C553"/>
      <c r="D553" s="13">
        <v>5</v>
      </c>
      <c r="E553" s="14">
        <v>40197.459027777782</v>
      </c>
      <c r="F553" s="13">
        <v>0.85</v>
      </c>
      <c r="G553" s="13">
        <v>12470</v>
      </c>
      <c r="H553" s="13" t="s">
        <v>609</v>
      </c>
    </row>
    <row r="554" spans="1:8" ht="15.75" customHeight="1" x14ac:dyDescent="0.25">
      <c r="A554" s="13">
        <v>529826</v>
      </c>
      <c r="B554" s="13">
        <v>22968</v>
      </c>
      <c r="C554" s="13" t="s">
        <v>610</v>
      </c>
      <c r="D554" s="13">
        <v>2</v>
      </c>
      <c r="E554" s="14">
        <v>40482.488194444442</v>
      </c>
      <c r="F554" s="13">
        <v>9.9499999999999993</v>
      </c>
      <c r="G554" s="13">
        <v>15351</v>
      </c>
      <c r="H554" s="13" t="s">
        <v>9</v>
      </c>
    </row>
    <row r="555" spans="1:8" ht="15.75" customHeight="1" x14ac:dyDescent="0.25">
      <c r="A555" s="13">
        <v>534718</v>
      </c>
      <c r="B555" s="13">
        <v>21755</v>
      </c>
      <c r="C555" s="13" t="s">
        <v>360</v>
      </c>
      <c r="D555" s="13">
        <v>3</v>
      </c>
      <c r="E555" s="14">
        <v>40505.741666666669</v>
      </c>
      <c r="F555" s="13">
        <v>5.95</v>
      </c>
      <c r="G555" s="13" t="s">
        <v>611</v>
      </c>
      <c r="H555" s="13" t="s">
        <v>9</v>
      </c>
    </row>
    <row r="556" spans="1:8" ht="15.75" customHeight="1" x14ac:dyDescent="0.25">
      <c r="A556" s="13">
        <v>500220</v>
      </c>
      <c r="B556" s="13">
        <v>21977</v>
      </c>
      <c r="C556" s="13" t="s">
        <v>612</v>
      </c>
      <c r="D556" s="13">
        <v>2</v>
      </c>
      <c r="E556" s="14">
        <v>40242.469444444447</v>
      </c>
      <c r="F556" s="13">
        <v>0.55000000000000004</v>
      </c>
      <c r="G556" s="13">
        <v>14896</v>
      </c>
      <c r="H556" s="13" t="s">
        <v>9</v>
      </c>
    </row>
    <row r="557" spans="1:8" ht="15.75" customHeight="1" x14ac:dyDescent="0.25">
      <c r="A557" s="13">
        <v>489439</v>
      </c>
      <c r="B557" s="13" t="s">
        <v>613</v>
      </c>
      <c r="C557" s="13" t="s">
        <v>219</v>
      </c>
      <c r="D557" s="13">
        <v>12</v>
      </c>
      <c r="E557" s="14">
        <v>40148.394444444442</v>
      </c>
      <c r="F557" s="13">
        <v>0.65</v>
      </c>
      <c r="G557" s="13">
        <v>12682</v>
      </c>
      <c r="H557" s="13" t="s">
        <v>28</v>
      </c>
    </row>
    <row r="558" spans="1:8" ht="15.75" customHeight="1" x14ac:dyDescent="0.25">
      <c r="A558" s="13">
        <v>513108</v>
      </c>
      <c r="B558" s="13" t="s">
        <v>614</v>
      </c>
      <c r="C558" s="13" t="s">
        <v>615</v>
      </c>
      <c r="D558" s="13">
        <v>24</v>
      </c>
      <c r="E558" s="14">
        <v>40350.669444444437</v>
      </c>
      <c r="F558" s="13">
        <v>1.69</v>
      </c>
      <c r="G558" s="13">
        <v>14204</v>
      </c>
      <c r="H558" s="13" t="s">
        <v>9</v>
      </c>
    </row>
    <row r="559" spans="1:8" ht="15.75" customHeight="1" x14ac:dyDescent="0.25">
      <c r="A559" s="13">
        <v>499972</v>
      </c>
      <c r="B559" s="13" t="s">
        <v>616</v>
      </c>
      <c r="C559" s="13" t="s">
        <v>617</v>
      </c>
      <c r="D559" s="13">
        <v>1</v>
      </c>
      <c r="E559" s="14">
        <v>40240.604861111111</v>
      </c>
      <c r="F559" s="13">
        <v>1.45</v>
      </c>
      <c r="G559" s="13">
        <v>13680</v>
      </c>
      <c r="H559" s="13" t="s">
        <v>9</v>
      </c>
    </row>
    <row r="560" spans="1:8" ht="15.75" customHeight="1" x14ac:dyDescent="0.25">
      <c r="A560" s="13">
        <v>506442</v>
      </c>
      <c r="B560" s="13">
        <v>22476</v>
      </c>
      <c r="C560" s="13" t="s">
        <v>618</v>
      </c>
      <c r="D560" s="13">
        <v>2</v>
      </c>
      <c r="E560" s="14">
        <v>40297.697916666657</v>
      </c>
      <c r="F560" s="13">
        <v>4.95</v>
      </c>
      <c r="G560" s="13">
        <v>16520</v>
      </c>
      <c r="H560" s="13" t="s">
        <v>9</v>
      </c>
    </row>
    <row r="561" spans="1:8" ht="15.75" customHeight="1" x14ac:dyDescent="0.25">
      <c r="A561" s="13">
        <v>523005</v>
      </c>
      <c r="B561" s="13">
        <v>37509</v>
      </c>
      <c r="C561" s="13" t="s">
        <v>619</v>
      </c>
      <c r="D561" s="13">
        <v>2</v>
      </c>
      <c r="E561" s="14">
        <v>40440.680555555547</v>
      </c>
      <c r="F561" s="13">
        <v>2.5499999999999998</v>
      </c>
      <c r="G561" s="13">
        <v>12748</v>
      </c>
      <c r="H561" s="13" t="s">
        <v>9</v>
      </c>
    </row>
    <row r="562" spans="1:8" ht="15.75" customHeight="1" x14ac:dyDescent="0.25">
      <c r="A562" s="13">
        <v>490707</v>
      </c>
      <c r="B562" s="13">
        <v>21875</v>
      </c>
      <c r="C562" s="13" t="s">
        <v>620</v>
      </c>
      <c r="D562" s="13">
        <v>1</v>
      </c>
      <c r="E562" s="14">
        <v>40154.626388888893</v>
      </c>
      <c r="F562" s="13">
        <v>1.25</v>
      </c>
      <c r="G562" s="13">
        <v>17865</v>
      </c>
      <c r="H562" s="13" t="s">
        <v>9</v>
      </c>
    </row>
    <row r="563" spans="1:8" ht="15.75" customHeight="1" x14ac:dyDescent="0.25">
      <c r="A563" s="13">
        <v>498401</v>
      </c>
      <c r="B563" s="13">
        <v>22329</v>
      </c>
      <c r="C563" s="13" t="s">
        <v>621</v>
      </c>
      <c r="D563" s="13">
        <v>12</v>
      </c>
      <c r="E563" s="14">
        <v>40227.655555555553</v>
      </c>
      <c r="F563" s="13">
        <v>1.65</v>
      </c>
      <c r="G563" s="13">
        <v>17469</v>
      </c>
      <c r="H563" s="13" t="s">
        <v>9</v>
      </c>
    </row>
    <row r="564" spans="1:8" ht="15.75" customHeight="1" x14ac:dyDescent="0.25">
      <c r="A564" s="13" t="s">
        <v>622</v>
      </c>
      <c r="B564" s="13">
        <v>82578</v>
      </c>
      <c r="C564" s="13" t="s">
        <v>623</v>
      </c>
      <c r="D564" s="13">
        <v>-1</v>
      </c>
      <c r="E564" s="14">
        <v>40377.452777777777</v>
      </c>
      <c r="F564" s="13">
        <v>0.55000000000000004</v>
      </c>
      <c r="G564" s="13">
        <v>13798</v>
      </c>
      <c r="H564" s="13" t="s">
        <v>9</v>
      </c>
    </row>
    <row r="565" spans="1:8" ht="15.75" customHeight="1" x14ac:dyDescent="0.25">
      <c r="A565" s="13">
        <v>517097</v>
      </c>
      <c r="B565" s="13">
        <v>22188</v>
      </c>
      <c r="C565" s="13" t="s">
        <v>505</v>
      </c>
      <c r="D565" s="13">
        <v>4</v>
      </c>
      <c r="E565" s="14">
        <v>40385.630555555559</v>
      </c>
      <c r="F565" s="13" t="s">
        <v>624</v>
      </c>
      <c r="G565" s="13">
        <v>17612</v>
      </c>
      <c r="H565" s="13" t="s">
        <v>9</v>
      </c>
    </row>
    <row r="566" spans="1:8" ht="15.75" customHeight="1" x14ac:dyDescent="0.25">
      <c r="A566" s="13">
        <v>537059</v>
      </c>
      <c r="B566" s="13">
        <v>22451</v>
      </c>
      <c r="C566" s="13" t="s">
        <v>625</v>
      </c>
      <c r="D566" s="13">
        <v>2</v>
      </c>
      <c r="E566" s="14">
        <v>40517.495833333327</v>
      </c>
      <c r="F566" s="13">
        <v>3.35</v>
      </c>
      <c r="G566" s="13">
        <v>14813</v>
      </c>
      <c r="H566" s="13" t="s">
        <v>9</v>
      </c>
    </row>
    <row r="567" spans="1:8" ht="15.75" customHeight="1" x14ac:dyDescent="0.25">
      <c r="A567" s="13">
        <v>499168</v>
      </c>
      <c r="B567" s="13">
        <v>47502</v>
      </c>
      <c r="C567" s="13" t="s">
        <v>626</v>
      </c>
      <c r="D567" s="13">
        <v>10</v>
      </c>
      <c r="E567" s="14">
        <v>40234.397916666669</v>
      </c>
      <c r="F567" s="13">
        <v>9.9499999999999993</v>
      </c>
      <c r="G567" s="13">
        <v>16029</v>
      </c>
      <c r="H567" s="13" t="s">
        <v>9</v>
      </c>
    </row>
    <row r="568" spans="1:8" ht="15.75" customHeight="1" x14ac:dyDescent="0.25">
      <c r="A568" s="13">
        <v>510483</v>
      </c>
      <c r="B568" s="13">
        <v>22545</v>
      </c>
      <c r="C568" s="13" t="s">
        <v>627</v>
      </c>
      <c r="D568" s="13">
        <v>7</v>
      </c>
      <c r="E568" s="14">
        <v>40330.477083333331</v>
      </c>
      <c r="F568" s="13">
        <v>0.42</v>
      </c>
      <c r="G568" s="13">
        <v>16960</v>
      </c>
      <c r="H568" s="13" t="s">
        <v>9</v>
      </c>
    </row>
    <row r="569" spans="1:8" ht="15.75" customHeight="1" x14ac:dyDescent="0.25">
      <c r="A569" s="13">
        <v>511066</v>
      </c>
      <c r="B569" s="13">
        <v>22179</v>
      </c>
      <c r="C569" s="13" t="s">
        <v>628</v>
      </c>
      <c r="D569" s="13">
        <v>2</v>
      </c>
      <c r="E569" s="14">
        <v>40335.540972222218</v>
      </c>
      <c r="F569" s="13">
        <v>6.75</v>
      </c>
      <c r="G569" s="13">
        <v>13109</v>
      </c>
      <c r="H569" s="13" t="s">
        <v>9</v>
      </c>
    </row>
    <row r="570" spans="1:8" ht="15.75" customHeight="1" x14ac:dyDescent="0.25">
      <c r="A570" s="13">
        <v>517978</v>
      </c>
      <c r="B570" s="13">
        <v>21774</v>
      </c>
      <c r="C570" s="13" t="s">
        <v>629</v>
      </c>
      <c r="D570" s="13">
        <v>12</v>
      </c>
      <c r="E570" s="14">
        <v>40393.609722222223</v>
      </c>
      <c r="F570" s="13">
        <v>1.25</v>
      </c>
      <c r="G570" s="13">
        <v>16316</v>
      </c>
      <c r="H570" s="13" t="s">
        <v>9</v>
      </c>
    </row>
    <row r="571" spans="1:8" ht="15.75" customHeight="1" x14ac:dyDescent="0.25">
      <c r="A571" s="13">
        <v>496008</v>
      </c>
      <c r="B571" s="13">
        <v>48129</v>
      </c>
      <c r="C571" s="13" t="s">
        <v>630</v>
      </c>
      <c r="D571" s="13">
        <v>2</v>
      </c>
      <c r="E571" s="14">
        <v>40206.525000000001</v>
      </c>
      <c r="F571" s="13">
        <v>6.75</v>
      </c>
      <c r="G571" s="13">
        <v>14911</v>
      </c>
      <c r="H571" s="13" t="s">
        <v>11</v>
      </c>
    </row>
    <row r="572" spans="1:8" ht="15.75" customHeight="1" x14ac:dyDescent="0.25">
      <c r="A572" s="13">
        <v>535680</v>
      </c>
      <c r="B572" s="13">
        <v>21670</v>
      </c>
      <c r="C572" s="13" t="s">
        <v>631</v>
      </c>
      <c r="D572" s="13">
        <v>12</v>
      </c>
      <c r="E572" s="14">
        <v>40510.517361111109</v>
      </c>
      <c r="F572" s="13">
        <v>1.25</v>
      </c>
      <c r="G572" s="13">
        <v>17001</v>
      </c>
      <c r="H572" s="13" t="s">
        <v>9</v>
      </c>
    </row>
    <row r="573" spans="1:8" ht="15.75" customHeight="1" x14ac:dyDescent="0.25">
      <c r="A573" s="13">
        <v>498121</v>
      </c>
      <c r="B573" s="13">
        <v>48129</v>
      </c>
      <c r="C573" s="13" t="s">
        <v>630</v>
      </c>
      <c r="D573" s="13">
        <v>5</v>
      </c>
      <c r="E573" s="14">
        <v>40225.643750000003</v>
      </c>
      <c r="F573" s="13">
        <v>7.49</v>
      </c>
      <c r="G573" s="13">
        <v>17351</v>
      </c>
      <c r="H573" s="13" t="s">
        <v>57</v>
      </c>
    </row>
    <row r="574" spans="1:8" ht="15.75" customHeight="1" x14ac:dyDescent="0.25">
      <c r="A574" s="13">
        <v>491998</v>
      </c>
      <c r="B574" s="13">
        <v>21041</v>
      </c>
      <c r="C574" s="13" t="s">
        <v>632</v>
      </c>
      <c r="D574" s="13">
        <v>6</v>
      </c>
      <c r="E574" s="14">
        <v>40162.464583333327</v>
      </c>
      <c r="F574" s="13">
        <v>2.95</v>
      </c>
      <c r="G574" s="13">
        <v>16858</v>
      </c>
      <c r="H574" s="13" t="s">
        <v>9</v>
      </c>
    </row>
    <row r="575" spans="1:8" ht="15.75" customHeight="1" x14ac:dyDescent="0.25">
      <c r="A575" s="13">
        <v>530796</v>
      </c>
      <c r="B575" s="13">
        <v>84915</v>
      </c>
      <c r="C575" s="13" t="s">
        <v>633</v>
      </c>
      <c r="D575" s="13">
        <v>1</v>
      </c>
      <c r="E575" s="14">
        <v>40486.518750000003</v>
      </c>
      <c r="F575" s="13">
        <v>5.95</v>
      </c>
      <c r="G575" s="13">
        <v>16391</v>
      </c>
      <c r="H575" s="13" t="s">
        <v>9</v>
      </c>
    </row>
    <row r="576" spans="1:8" ht="15.75" customHeight="1" x14ac:dyDescent="0.25">
      <c r="A576" s="13">
        <v>491395</v>
      </c>
      <c r="B576" s="13">
        <v>21737</v>
      </c>
      <c r="C576" s="13" t="s">
        <v>453</v>
      </c>
      <c r="D576" s="13" t="s">
        <v>330</v>
      </c>
      <c r="E576" s="14">
        <v>40157.6875</v>
      </c>
      <c r="F576" s="13">
        <v>19.95</v>
      </c>
      <c r="G576" s="13">
        <v>16901</v>
      </c>
      <c r="H576" s="13" t="s">
        <v>9</v>
      </c>
    </row>
    <row r="577" spans="1:8" ht="15.75" customHeight="1" x14ac:dyDescent="0.25">
      <c r="A577" s="13">
        <v>515313</v>
      </c>
      <c r="B577" s="13">
        <v>21272</v>
      </c>
      <c r="C577" s="13" t="s">
        <v>634</v>
      </c>
      <c r="D577" s="13">
        <v>2</v>
      </c>
      <c r="E577" s="14">
        <v>40370.436111111107</v>
      </c>
      <c r="F577" s="13">
        <v>1.25</v>
      </c>
      <c r="G577" s="13">
        <v>15164</v>
      </c>
      <c r="H577" s="13" t="s">
        <v>9</v>
      </c>
    </row>
    <row r="578" spans="1:8" ht="15.75" customHeight="1" x14ac:dyDescent="0.25">
      <c r="A578" s="13">
        <v>531478</v>
      </c>
      <c r="B578" s="13">
        <v>22910</v>
      </c>
      <c r="C578" s="13" t="s">
        <v>533</v>
      </c>
      <c r="D578" s="13">
        <v>6</v>
      </c>
      <c r="E578" s="13" t="s">
        <v>635</v>
      </c>
      <c r="F578" s="13">
        <v>2.95</v>
      </c>
      <c r="G578" s="13">
        <v>17084</v>
      </c>
      <c r="H578" s="13" t="s">
        <v>9</v>
      </c>
    </row>
    <row r="579" spans="1:8" ht="15.75" customHeight="1" x14ac:dyDescent="0.25">
      <c r="A579" s="13">
        <v>535467</v>
      </c>
      <c r="B579" s="13" t="s">
        <v>153</v>
      </c>
      <c r="C579" s="13" t="s">
        <v>154</v>
      </c>
      <c r="D579" s="13">
        <v>12</v>
      </c>
      <c r="E579" s="14">
        <v>40508.55972222222</v>
      </c>
      <c r="F579" s="13">
        <v>2.95</v>
      </c>
      <c r="G579" s="13">
        <v>15081</v>
      </c>
      <c r="H579" s="13" t="s">
        <v>9</v>
      </c>
    </row>
    <row r="580" spans="1:8" ht="15.75" customHeight="1" x14ac:dyDescent="0.25">
      <c r="A580" s="13">
        <v>499123</v>
      </c>
      <c r="B580" s="13">
        <v>84050</v>
      </c>
      <c r="C580" s="13" t="s">
        <v>520</v>
      </c>
      <c r="D580" s="13">
        <v>6</v>
      </c>
      <c r="E580" s="14">
        <v>40233.677083333343</v>
      </c>
      <c r="F580" s="13">
        <v>1.65</v>
      </c>
      <c r="G580" s="13">
        <v>14556</v>
      </c>
      <c r="H580" s="13" t="s">
        <v>9</v>
      </c>
    </row>
    <row r="581" spans="1:8" ht="15.75" customHeight="1" x14ac:dyDescent="0.25">
      <c r="A581" s="13">
        <v>509413</v>
      </c>
      <c r="B581" s="13">
        <v>22327</v>
      </c>
      <c r="C581" s="13" t="s">
        <v>636</v>
      </c>
      <c r="D581" s="13">
        <v>3</v>
      </c>
      <c r="E581" s="14">
        <v>40321.519444444442</v>
      </c>
      <c r="F581" s="13">
        <v>2.95</v>
      </c>
      <c r="G581" s="13">
        <v>17920</v>
      </c>
      <c r="H581" s="13" t="s">
        <v>9</v>
      </c>
    </row>
    <row r="582" spans="1:8" ht="15.75" customHeight="1" x14ac:dyDescent="0.25">
      <c r="A582" s="13">
        <v>517518</v>
      </c>
      <c r="B582" s="13">
        <v>85178</v>
      </c>
      <c r="C582" s="13" t="s">
        <v>597</v>
      </c>
      <c r="D582" s="13">
        <v>12</v>
      </c>
      <c r="E582" s="14">
        <v>40388.579861111109</v>
      </c>
      <c r="F582" s="13">
        <v>1.25</v>
      </c>
      <c r="G582" s="13">
        <v>13013</v>
      </c>
      <c r="H582" s="13" t="s">
        <v>9</v>
      </c>
    </row>
    <row r="583" spans="1:8" ht="15.75" customHeight="1" x14ac:dyDescent="0.25">
      <c r="A583" s="13">
        <v>490871</v>
      </c>
      <c r="B583" s="13">
        <v>21904</v>
      </c>
      <c r="C583" s="13" t="s">
        <v>637</v>
      </c>
      <c r="D583" s="13">
        <v>3</v>
      </c>
      <c r="E583" s="14">
        <v>40155.537499999999</v>
      </c>
      <c r="F583" s="13">
        <v>2.1</v>
      </c>
      <c r="G583" s="13">
        <v>15456</v>
      </c>
      <c r="H583" s="13" t="s">
        <v>9</v>
      </c>
    </row>
    <row r="584" spans="1:8" ht="15.75" customHeight="1" x14ac:dyDescent="0.25">
      <c r="A584" s="13">
        <v>526230</v>
      </c>
      <c r="B584" s="13" t="s">
        <v>638</v>
      </c>
      <c r="C584" s="13" t="s">
        <v>639</v>
      </c>
      <c r="D584" s="13">
        <v>6</v>
      </c>
      <c r="E584" s="14">
        <v>40461.643750000003</v>
      </c>
      <c r="F584" s="13">
        <v>2.95</v>
      </c>
      <c r="G584" s="13">
        <v>13362</v>
      </c>
      <c r="H584" s="13" t="s">
        <v>9</v>
      </c>
    </row>
    <row r="585" spans="1:8" ht="15.75" customHeight="1" x14ac:dyDescent="0.25">
      <c r="A585" s="13">
        <v>510191</v>
      </c>
      <c r="B585" s="13" t="s">
        <v>577</v>
      </c>
      <c r="C585" s="13" t="s">
        <v>578</v>
      </c>
      <c r="D585" s="13">
        <v>12</v>
      </c>
      <c r="E585" s="14">
        <v>40325.74722222222</v>
      </c>
      <c r="F585" s="13">
        <v>0.85</v>
      </c>
      <c r="G585" s="13">
        <v>16451</v>
      </c>
      <c r="H585" s="13" t="s">
        <v>9</v>
      </c>
    </row>
    <row r="586" spans="1:8" ht="15.75" customHeight="1" x14ac:dyDescent="0.25">
      <c r="A586" s="13">
        <v>530409</v>
      </c>
      <c r="B586" s="13">
        <v>22692</v>
      </c>
      <c r="C586" s="13" t="s">
        <v>640</v>
      </c>
      <c r="D586" s="13">
        <v>2</v>
      </c>
      <c r="E586" s="14">
        <v>40484.755555555559</v>
      </c>
      <c r="F586" s="13">
        <v>7.95</v>
      </c>
      <c r="G586" s="13">
        <v>16614</v>
      </c>
      <c r="H586" s="13" t="s">
        <v>9</v>
      </c>
    </row>
    <row r="587" spans="1:8" ht="15.75" customHeight="1" x14ac:dyDescent="0.25">
      <c r="A587" s="13">
        <v>521166</v>
      </c>
      <c r="B587" s="13">
        <v>22569</v>
      </c>
      <c r="C587" s="13" t="s">
        <v>56</v>
      </c>
      <c r="D587" s="13">
        <v>1</v>
      </c>
      <c r="E587" s="14">
        <v>40423.619444444441</v>
      </c>
      <c r="F587" s="13">
        <v>3.75</v>
      </c>
      <c r="G587" s="13">
        <v>17238</v>
      </c>
      <c r="H587" s="13" t="s">
        <v>9</v>
      </c>
    </row>
    <row r="588" spans="1:8" ht="15.75" customHeight="1" x14ac:dyDescent="0.25">
      <c r="A588" s="13">
        <v>505368</v>
      </c>
      <c r="B588" s="13">
        <v>22375</v>
      </c>
      <c r="C588" s="13" t="s">
        <v>641</v>
      </c>
      <c r="D588" s="13">
        <v>2</v>
      </c>
      <c r="E588" s="14">
        <v>40289.686111111107</v>
      </c>
      <c r="F588" s="13">
        <v>6.35</v>
      </c>
      <c r="G588" s="13">
        <v>14388</v>
      </c>
      <c r="H588" s="13" t="s">
        <v>9</v>
      </c>
    </row>
    <row r="589" spans="1:8" ht="15.75" customHeight="1" x14ac:dyDescent="0.25">
      <c r="A589" s="13">
        <v>512262</v>
      </c>
      <c r="B589" s="13">
        <v>84791</v>
      </c>
      <c r="C589" s="13" t="s">
        <v>642</v>
      </c>
      <c r="D589" s="13">
        <v>2</v>
      </c>
      <c r="E589" s="14">
        <v>40343.554166666669</v>
      </c>
      <c r="F589" s="13">
        <v>2.95</v>
      </c>
      <c r="G589" s="13">
        <v>16007</v>
      </c>
      <c r="H589" s="13" t="s">
        <v>9</v>
      </c>
    </row>
    <row r="590" spans="1:8" ht="15.75" customHeight="1" x14ac:dyDescent="0.25">
      <c r="A590" s="13">
        <v>519610</v>
      </c>
      <c r="B590" s="13" t="s">
        <v>643</v>
      </c>
      <c r="C590" s="13" t="s">
        <v>644</v>
      </c>
      <c r="D590" s="13">
        <v>2</v>
      </c>
      <c r="E590" s="14">
        <v>40408.70416666667</v>
      </c>
      <c r="F590" s="13">
        <v>2.5499999999999998</v>
      </c>
      <c r="G590" s="13">
        <v>15494</v>
      </c>
      <c r="H590" s="13" t="s">
        <v>9</v>
      </c>
    </row>
    <row r="591" spans="1:8" ht="15.75" customHeight="1" x14ac:dyDescent="0.25">
      <c r="A591" s="13">
        <v>512426</v>
      </c>
      <c r="B591" s="13" t="s">
        <v>577</v>
      </c>
      <c r="C591" s="13" t="s">
        <v>578</v>
      </c>
      <c r="D591" s="13">
        <v>12</v>
      </c>
      <c r="E591" s="14">
        <v>40344.625</v>
      </c>
      <c r="F591" s="13">
        <v>0.85</v>
      </c>
      <c r="G591" s="13">
        <v>13168</v>
      </c>
      <c r="H591" s="13" t="s">
        <v>9</v>
      </c>
    </row>
    <row r="592" spans="1:8" ht="15.75" customHeight="1" x14ac:dyDescent="0.25">
      <c r="A592" s="13">
        <v>527571</v>
      </c>
      <c r="B592" s="13">
        <v>22785</v>
      </c>
      <c r="C592" s="13" t="s">
        <v>645</v>
      </c>
      <c r="D592" s="13">
        <v>6</v>
      </c>
      <c r="E592" s="14">
        <v>40469.56527777778</v>
      </c>
      <c r="F592" s="13">
        <v>6.75</v>
      </c>
      <c r="G592" s="13">
        <v>17672</v>
      </c>
      <c r="H592" s="13" t="s">
        <v>9</v>
      </c>
    </row>
    <row r="593" spans="1:8" ht="15.75" customHeight="1" x14ac:dyDescent="0.25">
      <c r="A593" s="13" t="s">
        <v>646</v>
      </c>
      <c r="B593" s="13">
        <v>22646</v>
      </c>
      <c r="C593" s="13" t="s">
        <v>647</v>
      </c>
      <c r="D593" s="13">
        <v>12</v>
      </c>
      <c r="E593" s="14">
        <v>40360.400000000001</v>
      </c>
      <c r="F593" s="13">
        <v>1.45</v>
      </c>
      <c r="G593" s="13">
        <v>17146</v>
      </c>
      <c r="H593" s="13" t="s">
        <v>9</v>
      </c>
    </row>
    <row r="594" spans="1:8" ht="15.75" customHeight="1" x14ac:dyDescent="0.25">
      <c r="A594" s="13">
        <v>499067</v>
      </c>
      <c r="B594" s="13" t="s">
        <v>53</v>
      </c>
      <c r="C594" s="13" t="s">
        <v>54</v>
      </c>
      <c r="D594" s="13">
        <v>60</v>
      </c>
      <c r="E594" s="14">
        <v>40233.604166666657</v>
      </c>
      <c r="F594" s="13">
        <v>4.95</v>
      </c>
      <c r="G594" s="13">
        <v>14911</v>
      </c>
      <c r="H594" s="13" t="s">
        <v>11</v>
      </c>
    </row>
    <row r="595" spans="1:8" ht="15.75" customHeight="1" x14ac:dyDescent="0.25">
      <c r="A595" s="13">
        <v>500122</v>
      </c>
      <c r="B595" s="13">
        <v>21868</v>
      </c>
      <c r="C595" s="13" t="s">
        <v>563</v>
      </c>
      <c r="D595" s="13">
        <v>12</v>
      </c>
      <c r="E595" s="14">
        <v>40241.599305555559</v>
      </c>
      <c r="F595" s="13">
        <v>1.25</v>
      </c>
      <c r="G595" s="13">
        <v>14018</v>
      </c>
      <c r="H595" s="13" t="s">
        <v>9</v>
      </c>
    </row>
    <row r="596" spans="1:8" ht="15.75" customHeight="1" x14ac:dyDescent="0.25">
      <c r="A596" s="13">
        <v>535260</v>
      </c>
      <c r="B596" s="13" t="s">
        <v>648</v>
      </c>
      <c r="C596" s="13" t="s">
        <v>649</v>
      </c>
      <c r="D596" s="13">
        <v>1</v>
      </c>
      <c r="E596" s="14">
        <v>40507.555555555547</v>
      </c>
      <c r="F596" s="13">
        <v>1.65</v>
      </c>
      <c r="G596" s="13">
        <v>15021</v>
      </c>
      <c r="H596" s="13" t="s">
        <v>9</v>
      </c>
    </row>
    <row r="597" spans="1:8" ht="15.75" customHeight="1" x14ac:dyDescent="0.25">
      <c r="A597" s="13">
        <v>533318</v>
      </c>
      <c r="B597" s="13">
        <v>22176</v>
      </c>
      <c r="C597" s="13" t="s">
        <v>650</v>
      </c>
      <c r="D597" s="13">
        <v>12</v>
      </c>
      <c r="E597" s="14">
        <v>40498.724305555559</v>
      </c>
      <c r="F597" s="13">
        <v>2.95</v>
      </c>
      <c r="G597" s="13">
        <v>14828</v>
      </c>
      <c r="H597" s="13" t="s">
        <v>9</v>
      </c>
    </row>
    <row r="598" spans="1:8" ht="15.75" customHeight="1" x14ac:dyDescent="0.25">
      <c r="A598" s="13">
        <v>534705</v>
      </c>
      <c r="B598" s="13">
        <v>21248</v>
      </c>
      <c r="C598" s="13" t="s">
        <v>651</v>
      </c>
      <c r="D598" s="13">
        <v>4</v>
      </c>
      <c r="E598" s="14">
        <v>40505.694444444453</v>
      </c>
      <c r="F598" s="13">
        <v>1.45</v>
      </c>
      <c r="G598" s="13">
        <v>16242</v>
      </c>
      <c r="H598" s="13" t="s">
        <v>9</v>
      </c>
    </row>
    <row r="599" spans="1:8" ht="15.75" customHeight="1" x14ac:dyDescent="0.25">
      <c r="A599" s="13">
        <v>532391</v>
      </c>
      <c r="B599" s="13" t="s">
        <v>652</v>
      </c>
      <c r="C599" s="13" t="s">
        <v>601</v>
      </c>
      <c r="D599" s="13">
        <v>5</v>
      </c>
      <c r="E599" s="14">
        <v>40493.801388888889</v>
      </c>
      <c r="F599" s="13">
        <v>0.85</v>
      </c>
      <c r="G599" s="13">
        <v>16797</v>
      </c>
      <c r="H599" s="13" t="s">
        <v>9</v>
      </c>
    </row>
    <row r="600" spans="1:8" ht="15.75" customHeight="1" x14ac:dyDescent="0.25">
      <c r="A600" s="13">
        <v>525232</v>
      </c>
      <c r="B600" s="13">
        <v>22365</v>
      </c>
      <c r="C600" s="13" t="s">
        <v>653</v>
      </c>
      <c r="D600" s="13">
        <v>10</v>
      </c>
      <c r="E600" s="14">
        <v>40455.59097222222</v>
      </c>
      <c r="F600" s="13">
        <v>6.75</v>
      </c>
      <c r="G600" s="13" t="s">
        <v>654</v>
      </c>
      <c r="H600" s="13" t="s">
        <v>655</v>
      </c>
    </row>
    <row r="601" spans="1:8" ht="15.75" customHeight="1" x14ac:dyDescent="0.25">
      <c r="A601" s="13">
        <v>500751</v>
      </c>
      <c r="B601" s="13">
        <v>79320</v>
      </c>
      <c r="C601" s="13" t="s">
        <v>656</v>
      </c>
      <c r="D601" s="13">
        <v>4</v>
      </c>
      <c r="E601" s="14">
        <v>40247.434027777781</v>
      </c>
      <c r="F601" s="13">
        <v>4.95</v>
      </c>
      <c r="G601" s="13">
        <v>13081</v>
      </c>
      <c r="H601" s="13" t="s">
        <v>9</v>
      </c>
    </row>
    <row r="602" spans="1:8" ht="15.75" customHeight="1" x14ac:dyDescent="0.25">
      <c r="A602" s="13">
        <v>495546</v>
      </c>
      <c r="B602" s="13">
        <v>21790</v>
      </c>
      <c r="C602" s="13" t="s">
        <v>257</v>
      </c>
      <c r="D602" s="13">
        <v>6</v>
      </c>
      <c r="E602" s="14">
        <v>40203.662499999999</v>
      </c>
      <c r="F602" s="13">
        <v>0.85</v>
      </c>
      <c r="G602" s="13">
        <v>13206</v>
      </c>
      <c r="H602" s="13" t="s">
        <v>9</v>
      </c>
    </row>
    <row r="603" spans="1:8" ht="15.75" customHeight="1" x14ac:dyDescent="0.25">
      <c r="A603" s="13">
        <v>489875</v>
      </c>
      <c r="B603" s="13">
        <v>21622</v>
      </c>
      <c r="C603" s="13" t="s">
        <v>89</v>
      </c>
      <c r="D603" s="13">
        <v>3</v>
      </c>
      <c r="E603" s="14">
        <v>40149.65347222222</v>
      </c>
      <c r="F603" s="13">
        <v>4.95</v>
      </c>
      <c r="G603" s="13">
        <v>17841</v>
      </c>
      <c r="H603" s="13" t="s">
        <v>9</v>
      </c>
    </row>
    <row r="604" spans="1:8" ht="15.75" customHeight="1" x14ac:dyDescent="0.25">
      <c r="A604" s="13">
        <v>510138</v>
      </c>
      <c r="B604" s="13">
        <v>21155</v>
      </c>
      <c r="C604" s="13" t="s">
        <v>455</v>
      </c>
      <c r="D604" s="13">
        <v>6</v>
      </c>
      <c r="E604" s="14">
        <v>40325.515277777777</v>
      </c>
      <c r="F604" s="13">
        <v>2.1</v>
      </c>
      <c r="G604" s="13">
        <v>16946</v>
      </c>
      <c r="H604" s="13" t="s">
        <v>9</v>
      </c>
    </row>
    <row r="605" spans="1:8" ht="15.75" customHeight="1" x14ac:dyDescent="0.25">
      <c r="A605" s="13" t="s">
        <v>657</v>
      </c>
      <c r="B605" s="13">
        <v>20728</v>
      </c>
      <c r="C605" s="13" t="s">
        <v>658</v>
      </c>
      <c r="D605" s="13">
        <v>-50</v>
      </c>
      <c r="E605" s="14">
        <v>40422.536111111112</v>
      </c>
      <c r="F605" s="13">
        <v>1.45</v>
      </c>
      <c r="G605" s="13">
        <v>14156</v>
      </c>
      <c r="H605" s="13" t="s">
        <v>11</v>
      </c>
    </row>
    <row r="606" spans="1:8" ht="15.75" customHeight="1" x14ac:dyDescent="0.25">
      <c r="A606" s="13">
        <v>520738</v>
      </c>
      <c r="B606" s="13">
        <v>22147</v>
      </c>
      <c r="C606" s="13" t="s">
        <v>659</v>
      </c>
      <c r="D606" s="13">
        <v>12</v>
      </c>
      <c r="E606" s="14">
        <v>40421.4</v>
      </c>
      <c r="F606" s="13">
        <v>1.45</v>
      </c>
      <c r="G606" s="13">
        <v>14837</v>
      </c>
      <c r="H606" s="13" t="s">
        <v>9</v>
      </c>
    </row>
    <row r="607" spans="1:8" ht="15.75" customHeight="1" x14ac:dyDescent="0.25">
      <c r="A607" s="13" t="s">
        <v>660</v>
      </c>
      <c r="B607" s="13">
        <v>85042</v>
      </c>
      <c r="C607" s="13" t="s">
        <v>661</v>
      </c>
      <c r="D607" s="13">
        <v>-1</v>
      </c>
      <c r="E607" s="14">
        <v>40359.495833333327</v>
      </c>
      <c r="F607" s="13">
        <v>4.95</v>
      </c>
      <c r="G607" s="13">
        <v>14555</v>
      </c>
      <c r="H607" s="13" t="s">
        <v>9</v>
      </c>
    </row>
    <row r="608" spans="1:8" ht="15.75" customHeight="1" x14ac:dyDescent="0.25">
      <c r="A608" s="13">
        <v>537400</v>
      </c>
      <c r="B608" s="13">
        <v>82551</v>
      </c>
      <c r="C608" s="13" t="s">
        <v>662</v>
      </c>
      <c r="D608" s="13">
        <v>1</v>
      </c>
      <c r="E608" s="14">
        <v>40518.60833333333</v>
      </c>
      <c r="F608" s="13">
        <v>1.45</v>
      </c>
      <c r="G608" s="13">
        <v>17191</v>
      </c>
      <c r="H608" s="13" t="s">
        <v>9</v>
      </c>
    </row>
    <row r="609" spans="1:8" ht="15.75" customHeight="1" x14ac:dyDescent="0.25">
      <c r="A609" s="13">
        <v>527309</v>
      </c>
      <c r="B609" s="13">
        <v>22469</v>
      </c>
      <c r="C609" s="13" t="s">
        <v>663</v>
      </c>
      <c r="D609" s="13">
        <v>2</v>
      </c>
      <c r="E609" s="14">
        <v>40466.615972222222</v>
      </c>
      <c r="F609" s="13">
        <v>1.65</v>
      </c>
      <c r="G609" s="13">
        <v>13052</v>
      </c>
      <c r="H609" s="13" t="s">
        <v>9</v>
      </c>
    </row>
    <row r="610" spans="1:8" ht="15.75" customHeight="1" x14ac:dyDescent="0.25">
      <c r="A610" s="13">
        <v>502055</v>
      </c>
      <c r="B610" s="13">
        <v>20773</v>
      </c>
      <c r="C610" s="13" t="s">
        <v>664</v>
      </c>
      <c r="D610" s="13">
        <v>2</v>
      </c>
      <c r="E610" s="14">
        <v>40259.604166666657</v>
      </c>
      <c r="F610" s="13">
        <v>1.65</v>
      </c>
      <c r="G610" s="13">
        <v>13357</v>
      </c>
    </row>
    <row r="611" spans="1:8" ht="15.75" customHeight="1" x14ac:dyDescent="0.25">
      <c r="A611" s="13">
        <v>534155</v>
      </c>
      <c r="B611" s="13">
        <v>20754</v>
      </c>
      <c r="C611" s="13" t="s">
        <v>665</v>
      </c>
      <c r="D611" s="13">
        <v>2</v>
      </c>
      <c r="E611" s="14">
        <v>40503.521527777782</v>
      </c>
      <c r="F611" s="13">
        <v>2.1</v>
      </c>
      <c r="G611" s="13">
        <v>17618</v>
      </c>
      <c r="H611" s="13" t="s">
        <v>9</v>
      </c>
    </row>
    <row r="612" spans="1:8" ht="15.75" customHeight="1" x14ac:dyDescent="0.25">
      <c r="A612" s="13">
        <v>504903</v>
      </c>
      <c r="B612" s="13">
        <v>84991</v>
      </c>
      <c r="C612" s="13" t="s">
        <v>666</v>
      </c>
      <c r="D612" s="13">
        <v>2</v>
      </c>
      <c r="E612" s="14">
        <v>40286.658333333333</v>
      </c>
      <c r="F612" s="13">
        <v>0.55000000000000004</v>
      </c>
      <c r="G612" s="13">
        <v>16549</v>
      </c>
      <c r="H612" s="13" t="s">
        <v>9</v>
      </c>
    </row>
    <row r="613" spans="1:8" ht="15.75" customHeight="1" x14ac:dyDescent="0.25">
      <c r="A613" s="13">
        <v>508496</v>
      </c>
      <c r="B613" s="13" t="s">
        <v>667</v>
      </c>
      <c r="C613" s="13" t="s">
        <v>668</v>
      </c>
      <c r="D613" s="13">
        <v>6</v>
      </c>
      <c r="E613" s="14">
        <v>40314.611805555563</v>
      </c>
      <c r="F613" s="13">
        <v>1.49</v>
      </c>
      <c r="G613" s="13">
        <v>16208</v>
      </c>
      <c r="H613" s="13" t="s">
        <v>9</v>
      </c>
    </row>
    <row r="614" spans="1:8" ht="15.75" customHeight="1" x14ac:dyDescent="0.25">
      <c r="A614" s="13">
        <v>519658</v>
      </c>
      <c r="B614" s="13">
        <v>21745</v>
      </c>
      <c r="C614" s="13" t="s">
        <v>669</v>
      </c>
      <c r="D614" s="13">
        <v>2</v>
      </c>
      <c r="E614" s="14">
        <v>40409.480555555558</v>
      </c>
      <c r="F614" s="13">
        <v>3.75</v>
      </c>
      <c r="G614" s="13">
        <v>16225</v>
      </c>
      <c r="H614" s="13" t="s">
        <v>9</v>
      </c>
    </row>
    <row r="615" spans="1:8" ht="15.75" customHeight="1" x14ac:dyDescent="0.25">
      <c r="A615" s="13">
        <v>492078</v>
      </c>
      <c r="B615" s="13">
        <v>21034</v>
      </c>
      <c r="C615" s="13" t="s">
        <v>414</v>
      </c>
      <c r="D615" s="13">
        <v>1</v>
      </c>
      <c r="E615" s="14">
        <v>40162.574999999997</v>
      </c>
      <c r="F615" s="13">
        <v>0.95</v>
      </c>
      <c r="G615" s="13">
        <v>14966</v>
      </c>
      <c r="H615" s="13" t="s">
        <v>9</v>
      </c>
    </row>
    <row r="616" spans="1:8" ht="15.75" customHeight="1" x14ac:dyDescent="0.25">
      <c r="A616" s="13">
        <v>535957</v>
      </c>
      <c r="B616" s="13">
        <v>22966</v>
      </c>
      <c r="C616" s="13" t="s">
        <v>670</v>
      </c>
      <c r="D616" s="13">
        <v>12</v>
      </c>
      <c r="E616" s="14">
        <v>40511.518055555563</v>
      </c>
      <c r="F616" s="13">
        <v>1.25</v>
      </c>
      <c r="G616" s="13">
        <v>13510</v>
      </c>
      <c r="H616" s="13" t="s">
        <v>9</v>
      </c>
    </row>
    <row r="617" spans="1:8" ht="15.75" customHeight="1" x14ac:dyDescent="0.25">
      <c r="A617" s="13">
        <v>499242</v>
      </c>
      <c r="B617" s="13">
        <v>22354</v>
      </c>
      <c r="C617" s="13" t="s">
        <v>671</v>
      </c>
      <c r="D617" s="13">
        <v>8</v>
      </c>
      <c r="E617" s="14">
        <v>40234.561805555553</v>
      </c>
      <c r="F617" s="13">
        <v>3.39</v>
      </c>
      <c r="G617" s="13">
        <v>17850</v>
      </c>
      <c r="H617" s="13" t="s">
        <v>9</v>
      </c>
    </row>
    <row r="618" spans="1:8" ht="15.75" customHeight="1" x14ac:dyDescent="0.25">
      <c r="A618" s="13">
        <v>529341</v>
      </c>
      <c r="B618" s="13">
        <v>22150</v>
      </c>
      <c r="C618" s="13" t="s">
        <v>392</v>
      </c>
      <c r="D618" s="13">
        <v>1</v>
      </c>
      <c r="E618" s="14">
        <v>40478.693055555559</v>
      </c>
      <c r="F618" s="13">
        <v>1.95</v>
      </c>
      <c r="G618" s="13">
        <v>17322</v>
      </c>
      <c r="H618" s="13" t="s">
        <v>9</v>
      </c>
    </row>
    <row r="619" spans="1:8" ht="15.75" customHeight="1" x14ac:dyDescent="0.25">
      <c r="A619" s="13">
        <v>535799</v>
      </c>
      <c r="B619" s="13">
        <v>22733</v>
      </c>
      <c r="C619" s="13" t="s">
        <v>150</v>
      </c>
      <c r="D619" s="13">
        <v>1</v>
      </c>
      <c r="E619" s="14">
        <v>40510.617361111108</v>
      </c>
      <c r="F619" s="13">
        <v>1.25</v>
      </c>
      <c r="G619" s="13">
        <v>16720</v>
      </c>
      <c r="H619" s="13" t="s">
        <v>9</v>
      </c>
    </row>
    <row r="620" spans="1:8" ht="15.75" customHeight="1" x14ac:dyDescent="0.25">
      <c r="A620" s="13">
        <v>522080</v>
      </c>
      <c r="B620" s="13">
        <v>84839</v>
      </c>
      <c r="C620" s="13" t="s">
        <v>130</v>
      </c>
      <c r="D620" s="13">
        <v>1</v>
      </c>
      <c r="E620" s="14">
        <v>40433.486805555563</v>
      </c>
      <c r="F620" s="13">
        <v>6.75</v>
      </c>
      <c r="G620" s="13">
        <v>14525</v>
      </c>
      <c r="H620" s="13" t="s">
        <v>132</v>
      </c>
    </row>
    <row r="621" spans="1:8" ht="15.75" customHeight="1" x14ac:dyDescent="0.25">
      <c r="A621" s="13">
        <v>531900</v>
      </c>
      <c r="B621" s="13">
        <v>21107</v>
      </c>
      <c r="C621" s="13" t="s">
        <v>672</v>
      </c>
      <c r="D621" s="13">
        <v>1</v>
      </c>
      <c r="E621" s="14">
        <v>40492.502083333333</v>
      </c>
      <c r="F621" s="13">
        <v>2.95</v>
      </c>
      <c r="G621" s="13">
        <v>15031</v>
      </c>
      <c r="H621" s="13" t="s">
        <v>9</v>
      </c>
    </row>
    <row r="622" spans="1:8" ht="15.75" customHeight="1" x14ac:dyDescent="0.25">
      <c r="A622" s="13">
        <v>524174</v>
      </c>
      <c r="B622" s="13">
        <v>21393</v>
      </c>
      <c r="C622" s="13" t="s">
        <v>673</v>
      </c>
      <c r="D622" s="13">
        <v>2496</v>
      </c>
      <c r="E622" s="13" t="s">
        <v>674</v>
      </c>
      <c r="F622" s="13">
        <v>0.13</v>
      </c>
      <c r="G622" s="13">
        <v>13687</v>
      </c>
      <c r="H622" s="13" t="s">
        <v>9</v>
      </c>
    </row>
    <row r="623" spans="1:8" ht="15.75" customHeight="1" x14ac:dyDescent="0.25">
      <c r="A623" s="13">
        <v>523149</v>
      </c>
      <c r="B623" s="13">
        <v>82583</v>
      </c>
      <c r="C623" s="13" t="s">
        <v>675</v>
      </c>
      <c r="D623" s="13">
        <v>2</v>
      </c>
      <c r="E623" s="14">
        <v>40441.617361111108</v>
      </c>
      <c r="F623" s="13">
        <v>2.1</v>
      </c>
      <c r="G623" s="13">
        <v>17585</v>
      </c>
      <c r="H623" s="13" t="s">
        <v>9</v>
      </c>
    </row>
    <row r="624" spans="1:8" ht="15.75" customHeight="1" x14ac:dyDescent="0.25">
      <c r="A624" s="13">
        <v>501730</v>
      </c>
      <c r="B624" s="13">
        <v>22383</v>
      </c>
      <c r="C624" s="13" t="s">
        <v>676</v>
      </c>
      <c r="D624" s="13">
        <v>6</v>
      </c>
      <c r="E624" s="14">
        <v>40256.461805555547</v>
      </c>
      <c r="F624" s="13">
        <v>1.65</v>
      </c>
      <c r="G624" s="13">
        <v>14159</v>
      </c>
      <c r="H624" s="13" t="s">
        <v>9</v>
      </c>
    </row>
    <row r="625" spans="1:8" ht="15.75" customHeight="1" x14ac:dyDescent="0.25">
      <c r="A625" s="13">
        <v>506909</v>
      </c>
      <c r="B625" s="13">
        <v>21071</v>
      </c>
      <c r="C625" s="13" t="s">
        <v>677</v>
      </c>
      <c r="D625" s="13">
        <v>12</v>
      </c>
      <c r="E625" s="14">
        <v>40303.449305555558</v>
      </c>
      <c r="F625" s="13">
        <v>1.25</v>
      </c>
      <c r="G625" s="13">
        <v>18061</v>
      </c>
      <c r="H625" s="13" t="s">
        <v>9</v>
      </c>
    </row>
    <row r="626" spans="1:8" ht="15.75" customHeight="1" x14ac:dyDescent="0.25">
      <c r="A626" s="13">
        <v>514023</v>
      </c>
      <c r="B626" s="13">
        <v>21160</v>
      </c>
      <c r="C626" s="13" t="s">
        <v>678</v>
      </c>
      <c r="D626" s="13">
        <v>1</v>
      </c>
      <c r="E626" s="14">
        <v>40359.463888888888</v>
      </c>
      <c r="F626" s="13">
        <v>1.45</v>
      </c>
      <c r="G626" s="13">
        <v>14530</v>
      </c>
      <c r="H626" s="13" t="s">
        <v>9</v>
      </c>
    </row>
    <row r="627" spans="1:8" ht="15.75" customHeight="1" x14ac:dyDescent="0.25">
      <c r="A627" s="13">
        <v>498400</v>
      </c>
      <c r="B627" s="13">
        <v>22384</v>
      </c>
      <c r="C627" s="13" t="s">
        <v>305</v>
      </c>
      <c r="D627" s="13">
        <v>4</v>
      </c>
      <c r="E627" s="14">
        <v>40227.647916666669</v>
      </c>
      <c r="F627" s="13">
        <v>1.65</v>
      </c>
      <c r="G627" s="13">
        <v>15005</v>
      </c>
      <c r="H627" s="13" t="s">
        <v>9</v>
      </c>
    </row>
    <row r="628" spans="1:8" ht="15.75" customHeight="1" x14ac:dyDescent="0.25">
      <c r="A628" s="13">
        <v>511300</v>
      </c>
      <c r="B628" s="13">
        <v>22425</v>
      </c>
      <c r="C628" s="13" t="s">
        <v>679</v>
      </c>
      <c r="D628" s="13">
        <v>1</v>
      </c>
      <c r="E628" s="14">
        <v>40336.646527777782</v>
      </c>
      <c r="F628" s="13">
        <v>4.95</v>
      </c>
      <c r="G628" s="13">
        <v>16788</v>
      </c>
      <c r="H628" s="13" t="s">
        <v>9</v>
      </c>
    </row>
    <row r="629" spans="1:8" ht="15.75" customHeight="1" x14ac:dyDescent="0.25">
      <c r="A629" s="13">
        <v>500498</v>
      </c>
      <c r="B629" s="13">
        <v>48138</v>
      </c>
      <c r="C629" s="13" t="s">
        <v>183</v>
      </c>
      <c r="D629" s="13">
        <v>2</v>
      </c>
      <c r="E629" s="14">
        <v>40245.553472222222</v>
      </c>
      <c r="F629" s="13">
        <v>7.49</v>
      </c>
      <c r="G629" s="13">
        <v>17672</v>
      </c>
      <c r="H629" s="13" t="s">
        <v>9</v>
      </c>
    </row>
    <row r="630" spans="1:8" ht="15.75" customHeight="1" x14ac:dyDescent="0.25">
      <c r="A630" s="13">
        <v>513050</v>
      </c>
      <c r="B630" s="13">
        <v>22081</v>
      </c>
      <c r="C630" s="13" t="s">
        <v>680</v>
      </c>
      <c r="D630" s="13">
        <v>2</v>
      </c>
      <c r="E630" s="14">
        <v>40350.554166666669</v>
      </c>
      <c r="F630" s="13">
        <v>1.65</v>
      </c>
      <c r="G630" s="13">
        <v>14493</v>
      </c>
      <c r="H630" s="13" t="s">
        <v>9</v>
      </c>
    </row>
    <row r="631" spans="1:8" ht="15.75" customHeight="1" x14ac:dyDescent="0.25">
      <c r="A631" s="13">
        <v>528618</v>
      </c>
      <c r="B631" s="13">
        <v>72133</v>
      </c>
      <c r="C631" s="13" t="s">
        <v>681</v>
      </c>
      <c r="D631" s="13">
        <v>2</v>
      </c>
      <c r="E631" s="14">
        <v>40473.713194444441</v>
      </c>
      <c r="F631" s="13">
        <v>1.25</v>
      </c>
      <c r="G631" s="13">
        <v>13263</v>
      </c>
      <c r="H631" s="13" t="s">
        <v>9</v>
      </c>
    </row>
    <row r="632" spans="1:8" ht="15.75" customHeight="1" x14ac:dyDescent="0.25">
      <c r="A632" s="13">
        <v>520176</v>
      </c>
      <c r="B632" s="13">
        <v>21931</v>
      </c>
      <c r="C632" s="13" t="s">
        <v>434</v>
      </c>
      <c r="D632" s="13">
        <v>20</v>
      </c>
      <c r="E632" s="14">
        <v>40414.561111111107</v>
      </c>
      <c r="F632" s="13">
        <v>1.95</v>
      </c>
      <c r="G632" s="13">
        <v>15615</v>
      </c>
      <c r="H632" s="13" t="s">
        <v>9</v>
      </c>
    </row>
    <row r="633" spans="1:8" ht="15.75" customHeight="1" x14ac:dyDescent="0.25">
      <c r="A633" s="13">
        <v>504183</v>
      </c>
      <c r="B633" s="13" t="s">
        <v>277</v>
      </c>
      <c r="C633" s="13" t="s">
        <v>682</v>
      </c>
      <c r="D633" s="13">
        <v>10</v>
      </c>
      <c r="E633" s="14">
        <v>40280.384027777778</v>
      </c>
      <c r="F633" s="13">
        <v>1.95</v>
      </c>
      <c r="G633" s="13">
        <v>13418</v>
      </c>
      <c r="H633" s="13" t="s">
        <v>9</v>
      </c>
    </row>
    <row r="634" spans="1:8" ht="15.75" customHeight="1" x14ac:dyDescent="0.25">
      <c r="A634" s="13" t="s">
        <v>683</v>
      </c>
      <c r="B634" s="13">
        <v>84975</v>
      </c>
      <c r="C634" s="13" t="s">
        <v>416</v>
      </c>
      <c r="D634" s="13">
        <v>6</v>
      </c>
      <c r="E634" s="14">
        <v>40241.522222222222</v>
      </c>
      <c r="F634" s="13">
        <v>1.69</v>
      </c>
      <c r="G634" s="13">
        <v>16771</v>
      </c>
      <c r="H634" s="13" t="s">
        <v>9</v>
      </c>
    </row>
    <row r="635" spans="1:8" ht="15.75" customHeight="1" x14ac:dyDescent="0.25">
      <c r="A635" s="13">
        <v>525104</v>
      </c>
      <c r="B635" s="13">
        <v>22162</v>
      </c>
      <c r="C635" s="13" t="s">
        <v>351</v>
      </c>
      <c r="D635" s="13">
        <v>8</v>
      </c>
      <c r="E635" s="14">
        <v>40455.436805555553</v>
      </c>
      <c r="F635" s="13">
        <v>2.95</v>
      </c>
      <c r="G635" s="13">
        <v>16476</v>
      </c>
      <c r="H635" s="13" t="s">
        <v>9</v>
      </c>
    </row>
    <row r="636" spans="1:8" ht="15.75" customHeight="1" x14ac:dyDescent="0.25">
      <c r="A636" s="13">
        <v>512560</v>
      </c>
      <c r="B636" s="13" t="s">
        <v>684</v>
      </c>
      <c r="C636" s="13" t="s">
        <v>685</v>
      </c>
      <c r="D636" s="13">
        <v>4</v>
      </c>
      <c r="E636" s="14">
        <v>40345.602777777778</v>
      </c>
      <c r="F636" s="13">
        <v>0.85</v>
      </c>
      <c r="G636" s="13">
        <v>17931</v>
      </c>
      <c r="H636" s="13" t="s">
        <v>9</v>
      </c>
    </row>
    <row r="637" spans="1:8" ht="15.75" customHeight="1" x14ac:dyDescent="0.25">
      <c r="A637" s="13">
        <v>521222</v>
      </c>
      <c r="B637" s="13">
        <v>85063</v>
      </c>
      <c r="C637" s="13" t="s">
        <v>686</v>
      </c>
      <c r="D637" s="13">
        <v>1</v>
      </c>
      <c r="E637" s="14">
        <v>40424.443749999999</v>
      </c>
      <c r="F637" s="13">
        <v>16.95</v>
      </c>
      <c r="G637" s="13">
        <v>17287</v>
      </c>
      <c r="H637" s="13" t="s">
        <v>9</v>
      </c>
    </row>
    <row r="638" spans="1:8" ht="15.75" customHeight="1" x14ac:dyDescent="0.25">
      <c r="A638" s="13">
        <v>530742</v>
      </c>
      <c r="B638" s="13">
        <v>21804</v>
      </c>
      <c r="C638" s="13" t="s">
        <v>687</v>
      </c>
      <c r="D638" s="13">
        <v>6</v>
      </c>
      <c r="E638" s="14">
        <v>40486.495138888888</v>
      </c>
      <c r="F638" s="13">
        <v>3.75</v>
      </c>
      <c r="G638" s="13">
        <v>14136</v>
      </c>
      <c r="H638" s="13" t="s">
        <v>9</v>
      </c>
    </row>
    <row r="639" spans="1:8" ht="15.75" customHeight="1" x14ac:dyDescent="0.25">
      <c r="A639" s="13">
        <v>509453</v>
      </c>
      <c r="B639" s="13">
        <v>22077</v>
      </c>
      <c r="C639" s="13" t="s">
        <v>196</v>
      </c>
      <c r="D639" s="13">
        <v>12</v>
      </c>
      <c r="E639" s="14">
        <v>40322.40902777778</v>
      </c>
      <c r="F639" s="13">
        <v>1.65</v>
      </c>
      <c r="G639" s="13">
        <v>13381</v>
      </c>
      <c r="H639" s="13" t="s">
        <v>9</v>
      </c>
    </row>
    <row r="640" spans="1:8" ht="15.75" customHeight="1" x14ac:dyDescent="0.25">
      <c r="A640" s="13">
        <v>501508</v>
      </c>
      <c r="B640" s="13">
        <v>20725</v>
      </c>
      <c r="C640" s="13" t="s">
        <v>688</v>
      </c>
      <c r="D640" s="13">
        <v>10</v>
      </c>
      <c r="E640" s="14">
        <v>40254.481249999997</v>
      </c>
      <c r="F640" s="13">
        <v>1.45</v>
      </c>
      <c r="G640" s="13">
        <v>17448</v>
      </c>
      <c r="H640" s="13" t="s">
        <v>9</v>
      </c>
    </row>
    <row r="641" spans="1:8" ht="15.75" customHeight="1" x14ac:dyDescent="0.25">
      <c r="A641" s="13">
        <v>529597</v>
      </c>
      <c r="B641" s="13">
        <v>21791</v>
      </c>
      <c r="C641" s="13" t="s">
        <v>689</v>
      </c>
      <c r="D641" s="13">
        <v>24</v>
      </c>
      <c r="E641" s="14">
        <v>40480.366666666669</v>
      </c>
      <c r="F641" s="13">
        <v>1.25</v>
      </c>
      <c r="G641" s="13">
        <v>17675</v>
      </c>
      <c r="H641" s="13" t="s">
        <v>9</v>
      </c>
    </row>
    <row r="642" spans="1:8" ht="15.75" customHeight="1" x14ac:dyDescent="0.25">
      <c r="A642" s="13">
        <v>496313</v>
      </c>
      <c r="B642" s="13">
        <v>21892</v>
      </c>
      <c r="C642" s="13" t="s">
        <v>86</v>
      </c>
      <c r="D642" s="13">
        <v>9</v>
      </c>
      <c r="E642" s="14">
        <v>40209.510416666657</v>
      </c>
      <c r="F642" s="13">
        <v>1.25</v>
      </c>
      <c r="G642" s="13">
        <v>15013</v>
      </c>
      <c r="H642" s="13" t="s">
        <v>9</v>
      </c>
    </row>
    <row r="643" spans="1:8" ht="15.75" customHeight="1" x14ac:dyDescent="0.25">
      <c r="A643" s="13">
        <v>536874</v>
      </c>
      <c r="B643" s="13" t="s">
        <v>690</v>
      </c>
      <c r="C643" s="13" t="s">
        <v>691</v>
      </c>
      <c r="D643" s="13">
        <v>1</v>
      </c>
      <c r="E643" s="14">
        <v>40515.482638888891</v>
      </c>
      <c r="F643" s="13">
        <v>0.42</v>
      </c>
      <c r="G643" s="13">
        <v>16891</v>
      </c>
      <c r="H643" s="13" t="s">
        <v>9</v>
      </c>
    </row>
    <row r="644" spans="1:8" ht="15.75" customHeight="1" x14ac:dyDescent="0.25">
      <c r="A644" s="13">
        <v>511105</v>
      </c>
      <c r="B644" s="13">
        <v>21238</v>
      </c>
      <c r="C644" s="13" t="s">
        <v>692</v>
      </c>
      <c r="D644" s="13">
        <v>8</v>
      </c>
      <c r="E644" s="14">
        <v>40336.400694444441</v>
      </c>
      <c r="F644" s="13">
        <v>0.85</v>
      </c>
      <c r="G644" s="13">
        <v>13815</v>
      </c>
      <c r="H644" s="13" t="s">
        <v>17</v>
      </c>
    </row>
    <row r="645" spans="1:8" ht="15.75" customHeight="1" x14ac:dyDescent="0.25">
      <c r="A645" s="13">
        <v>524856</v>
      </c>
      <c r="B645" s="13">
        <v>20971</v>
      </c>
      <c r="C645" s="13" t="s">
        <v>693</v>
      </c>
      <c r="D645" s="13">
        <v>4</v>
      </c>
      <c r="E645" s="14">
        <v>40451.821527777778</v>
      </c>
      <c r="F645" s="13">
        <v>1.25</v>
      </c>
      <c r="G645" s="13">
        <v>14713</v>
      </c>
      <c r="H645" s="13" t="s">
        <v>9</v>
      </c>
    </row>
    <row r="646" spans="1:8" ht="15.75" customHeight="1" x14ac:dyDescent="0.25">
      <c r="A646" s="13">
        <v>533293</v>
      </c>
      <c r="B646" s="13">
        <v>21212</v>
      </c>
      <c r="C646" s="13" t="s">
        <v>497</v>
      </c>
      <c r="D646" s="13">
        <v>24</v>
      </c>
      <c r="E646" s="13" t="s">
        <v>694</v>
      </c>
      <c r="F646" s="13">
        <v>0.55000000000000004</v>
      </c>
      <c r="G646" s="13">
        <v>16145</v>
      </c>
      <c r="H646" s="13" t="s">
        <v>9</v>
      </c>
    </row>
    <row r="647" spans="1:8" ht="15.75" customHeight="1" x14ac:dyDescent="0.25">
      <c r="A647" s="13">
        <v>511136</v>
      </c>
      <c r="B647" s="13">
        <v>22479</v>
      </c>
      <c r="C647" s="13" t="s">
        <v>695</v>
      </c>
      <c r="D647" s="13">
        <v>10</v>
      </c>
      <c r="E647" s="14">
        <v>40336.484722222223</v>
      </c>
      <c r="F647" s="13">
        <v>1.25</v>
      </c>
      <c r="G647" s="13">
        <v>17897</v>
      </c>
      <c r="H647" s="13" t="s">
        <v>9</v>
      </c>
    </row>
    <row r="648" spans="1:8" ht="15.75" customHeight="1" x14ac:dyDescent="0.25">
      <c r="A648" s="13">
        <v>517513</v>
      </c>
      <c r="B648" s="13">
        <v>22139</v>
      </c>
      <c r="C648" s="13" t="s">
        <v>135</v>
      </c>
      <c r="D648" s="13">
        <v>4</v>
      </c>
      <c r="E648" s="14">
        <v>40388.561111111107</v>
      </c>
      <c r="F648" s="13">
        <v>4.95</v>
      </c>
      <c r="G648" s="13">
        <v>15023</v>
      </c>
      <c r="H648" s="13" t="s">
        <v>9</v>
      </c>
    </row>
    <row r="649" spans="1:8" ht="15.75" customHeight="1" x14ac:dyDescent="0.25">
      <c r="A649" s="13">
        <v>510936</v>
      </c>
      <c r="B649" s="13">
        <v>22090</v>
      </c>
      <c r="C649" s="13" t="s">
        <v>538</v>
      </c>
      <c r="D649" s="13">
        <v>12</v>
      </c>
      <c r="E649" s="14">
        <v>40333.440972222219</v>
      </c>
      <c r="F649" s="13">
        <v>2.95</v>
      </c>
      <c r="G649" s="13">
        <v>12701</v>
      </c>
      <c r="H649" s="13" t="s">
        <v>17</v>
      </c>
    </row>
    <row r="650" spans="1:8" ht="15.75" customHeight="1" x14ac:dyDescent="0.25">
      <c r="A650" s="13">
        <v>536263</v>
      </c>
      <c r="B650" s="13">
        <v>21484</v>
      </c>
      <c r="C650" s="13" t="s">
        <v>421</v>
      </c>
      <c r="D650" s="13">
        <v>12</v>
      </c>
      <c r="E650" s="14">
        <v>40512.65347222222</v>
      </c>
      <c r="F650" s="13">
        <v>3.45</v>
      </c>
      <c r="G650" s="13">
        <v>15160</v>
      </c>
      <c r="H650" s="13" t="s">
        <v>9</v>
      </c>
    </row>
    <row r="651" spans="1:8" ht="15.75" customHeight="1" x14ac:dyDescent="0.25">
      <c r="A651" s="13">
        <v>532297</v>
      </c>
      <c r="B651" s="13">
        <v>37340</v>
      </c>
      <c r="C651" s="13" t="s">
        <v>696</v>
      </c>
      <c r="D651" s="13">
        <v>6</v>
      </c>
      <c r="E651" s="14">
        <v>40493.576388888891</v>
      </c>
      <c r="F651" s="13">
        <v>0.85</v>
      </c>
      <c r="G651" s="13">
        <v>13979</v>
      </c>
      <c r="H651" s="13" t="s">
        <v>9</v>
      </c>
    </row>
    <row r="652" spans="1:8" ht="15.75" customHeight="1" x14ac:dyDescent="0.25">
      <c r="A652" s="13">
        <v>490158</v>
      </c>
      <c r="B652" s="13">
        <v>20679</v>
      </c>
      <c r="C652" s="13" t="s">
        <v>697</v>
      </c>
      <c r="D652" s="13">
        <v>3</v>
      </c>
      <c r="E652" s="14">
        <v>40151.449305555558</v>
      </c>
      <c r="F652" s="13">
        <v>5.95</v>
      </c>
      <c r="G652" s="13">
        <v>12759</v>
      </c>
      <c r="H652" s="13" t="s">
        <v>116</v>
      </c>
    </row>
    <row r="653" spans="1:8" ht="15.75" customHeight="1" x14ac:dyDescent="0.25">
      <c r="A653" s="13">
        <v>509965</v>
      </c>
      <c r="B653" s="13">
        <v>82582</v>
      </c>
      <c r="C653" s="13" t="s">
        <v>698</v>
      </c>
      <c r="D653" s="13">
        <v>6</v>
      </c>
      <c r="E653" s="14">
        <v>40324.553472222222</v>
      </c>
      <c r="F653" s="13" t="s">
        <v>190</v>
      </c>
      <c r="G653" s="13">
        <v>15078</v>
      </c>
      <c r="H653" s="13" t="s">
        <v>9</v>
      </c>
    </row>
    <row r="654" spans="1:8" ht="15.75" customHeight="1" x14ac:dyDescent="0.25">
      <c r="A654" s="13">
        <v>536856</v>
      </c>
      <c r="B654" s="13">
        <v>22697</v>
      </c>
      <c r="C654" s="13" t="s">
        <v>699</v>
      </c>
      <c r="D654" s="13">
        <v>6</v>
      </c>
      <c r="E654" s="14">
        <v>40515.43472222222</v>
      </c>
      <c r="F654" s="13">
        <v>2.95</v>
      </c>
      <c r="G654" s="13">
        <v>13370</v>
      </c>
      <c r="H654" s="13" t="s">
        <v>9</v>
      </c>
    </row>
    <row r="655" spans="1:8" ht="15.75" customHeight="1" x14ac:dyDescent="0.25">
      <c r="A655" s="13">
        <v>535283</v>
      </c>
      <c r="B655" s="13">
        <v>85175</v>
      </c>
      <c r="C655" s="13" t="s">
        <v>700</v>
      </c>
      <c r="D655" s="13">
        <v>16</v>
      </c>
      <c r="E655" s="14">
        <v>40507.595833333333</v>
      </c>
      <c r="F655" s="13">
        <v>0.42</v>
      </c>
      <c r="G655" s="13">
        <v>14443</v>
      </c>
      <c r="H655" s="13" t="s">
        <v>9</v>
      </c>
    </row>
    <row r="656" spans="1:8" ht="15.75" customHeight="1" x14ac:dyDescent="0.25">
      <c r="A656" s="13">
        <v>519610</v>
      </c>
      <c r="B656" s="13" t="s">
        <v>701</v>
      </c>
      <c r="C656" s="13" t="s">
        <v>702</v>
      </c>
      <c r="D656" s="13">
        <v>9</v>
      </c>
      <c r="E656" s="14">
        <v>40408.70416666667</v>
      </c>
      <c r="F656" s="13">
        <v>1.25</v>
      </c>
      <c r="G656" s="13">
        <v>15494</v>
      </c>
      <c r="H656" s="13" t="s">
        <v>9</v>
      </c>
    </row>
    <row r="657" spans="1:8" ht="15.75" customHeight="1" x14ac:dyDescent="0.25">
      <c r="A657" s="13">
        <v>512657</v>
      </c>
      <c r="B657" s="13">
        <v>21446</v>
      </c>
      <c r="C657" s="13" t="s">
        <v>703</v>
      </c>
      <c r="D657" s="13">
        <v>1</v>
      </c>
      <c r="E657" s="14">
        <v>40346.474305555559</v>
      </c>
      <c r="F657" s="13">
        <v>1.25</v>
      </c>
      <c r="G657" s="13" t="s">
        <v>704</v>
      </c>
      <c r="H657" s="13" t="s">
        <v>9</v>
      </c>
    </row>
    <row r="658" spans="1:8" ht="15.75" customHeight="1" x14ac:dyDescent="0.25">
      <c r="A658" s="13">
        <v>506029</v>
      </c>
      <c r="B658" s="13">
        <v>21210</v>
      </c>
      <c r="C658" s="13" t="s">
        <v>518</v>
      </c>
      <c r="D658" s="13">
        <v>6</v>
      </c>
      <c r="E658" s="14">
        <v>40295.486111111109</v>
      </c>
      <c r="F658" s="13">
        <v>1.45</v>
      </c>
      <c r="G658"/>
      <c r="H658" s="13" t="s">
        <v>9</v>
      </c>
    </row>
    <row r="659" spans="1:8" ht="15.75" customHeight="1" x14ac:dyDescent="0.25">
      <c r="A659" s="13">
        <v>529339</v>
      </c>
      <c r="B659" s="13" t="s">
        <v>705</v>
      </c>
      <c r="C659" s="13" t="s">
        <v>706</v>
      </c>
      <c r="D659" s="13">
        <v>1</v>
      </c>
      <c r="E659" s="14">
        <v>40478.682638888888</v>
      </c>
      <c r="F659" s="13">
        <v>0.85</v>
      </c>
      <c r="G659" s="13">
        <v>16382</v>
      </c>
      <c r="H659" s="13" t="s">
        <v>9</v>
      </c>
    </row>
    <row r="660" spans="1:8" ht="15.75" customHeight="1" x14ac:dyDescent="0.25">
      <c r="A660" s="13">
        <v>518561</v>
      </c>
      <c r="B660" s="13">
        <v>21106</v>
      </c>
      <c r="C660" s="13" t="s">
        <v>591</v>
      </c>
      <c r="D660" s="13">
        <v>6</v>
      </c>
      <c r="E660" s="14">
        <v>40400.431944444441</v>
      </c>
      <c r="F660" s="13">
        <v>2.95</v>
      </c>
      <c r="G660" s="13">
        <v>17023</v>
      </c>
      <c r="H660" s="13" t="s">
        <v>9</v>
      </c>
    </row>
    <row r="661" spans="1:8" ht="15.75" customHeight="1" x14ac:dyDescent="0.25">
      <c r="A661" s="13">
        <v>514676</v>
      </c>
      <c r="B661" s="13">
        <v>22196</v>
      </c>
      <c r="C661" s="13" t="s">
        <v>62</v>
      </c>
      <c r="D661" s="13">
        <v>1</v>
      </c>
      <c r="E661" s="14">
        <v>40364.56527777778</v>
      </c>
      <c r="F661" s="13">
        <v>0.85</v>
      </c>
      <c r="G661" s="13">
        <v>14606</v>
      </c>
      <c r="H661" s="13" t="s">
        <v>9</v>
      </c>
    </row>
    <row r="662" spans="1:8" ht="15.75" customHeight="1" x14ac:dyDescent="0.25">
      <c r="A662" s="13" t="s">
        <v>707</v>
      </c>
      <c r="B662" s="13">
        <v>21658</v>
      </c>
      <c r="C662" s="13" t="s">
        <v>210</v>
      </c>
      <c r="D662" s="13">
        <v>-1</v>
      </c>
      <c r="E662" s="14">
        <v>40518.553472222222</v>
      </c>
      <c r="F662" s="13">
        <v>3.95</v>
      </c>
      <c r="G662" s="13">
        <v>16550</v>
      </c>
      <c r="H662" s="13" t="s">
        <v>9</v>
      </c>
    </row>
    <row r="663" spans="1:8" ht="15.75" customHeight="1" x14ac:dyDescent="0.25">
      <c r="A663" s="13">
        <v>514165</v>
      </c>
      <c r="B663" s="13">
        <v>21915</v>
      </c>
      <c r="C663" s="13" t="s">
        <v>347</v>
      </c>
      <c r="D663" s="13">
        <v>12</v>
      </c>
      <c r="E663" s="14">
        <v>40359.649305555547</v>
      </c>
      <c r="F663" s="13">
        <v>1.25</v>
      </c>
      <c r="G663" s="13">
        <v>12714</v>
      </c>
      <c r="H663" s="13" t="s">
        <v>28</v>
      </c>
    </row>
    <row r="664" spans="1:8" ht="15.75" customHeight="1" x14ac:dyDescent="0.25">
      <c r="A664" s="13">
        <v>536623</v>
      </c>
      <c r="B664" s="13">
        <v>22431</v>
      </c>
      <c r="C664" s="13" t="s">
        <v>477</v>
      </c>
      <c r="D664" s="13">
        <v>6</v>
      </c>
      <c r="E664" s="14">
        <v>40514.443749999999</v>
      </c>
      <c r="F664" s="13">
        <v>1.95</v>
      </c>
      <c r="G664" s="13">
        <v>15601</v>
      </c>
      <c r="H664" s="13" t="s">
        <v>9</v>
      </c>
    </row>
    <row r="665" spans="1:8" ht="15.75" customHeight="1" x14ac:dyDescent="0.25">
      <c r="A665" s="13">
        <v>524179</v>
      </c>
      <c r="B665" s="13">
        <v>21955</v>
      </c>
      <c r="C665" s="13" t="s">
        <v>708</v>
      </c>
      <c r="D665"/>
      <c r="E665" s="14">
        <v>40448.693749999999</v>
      </c>
      <c r="F665" s="13">
        <v>7.95</v>
      </c>
      <c r="G665" s="13">
        <v>17320</v>
      </c>
      <c r="H665" s="13" t="s">
        <v>9</v>
      </c>
    </row>
    <row r="666" spans="1:8" ht="15.75" customHeight="1" x14ac:dyDescent="0.25">
      <c r="A666" s="13">
        <v>495185</v>
      </c>
      <c r="B666" s="13">
        <v>85187</v>
      </c>
      <c r="C666" s="13" t="s">
        <v>709</v>
      </c>
      <c r="D666" s="13">
        <v>12</v>
      </c>
      <c r="E666" s="14">
        <v>40199.584027777782</v>
      </c>
      <c r="F666" s="13">
        <v>1.65</v>
      </c>
      <c r="G666" s="13">
        <v>14439</v>
      </c>
      <c r="H666" s="13" t="s">
        <v>339</v>
      </c>
    </row>
    <row r="667" spans="1:8" ht="15.75" customHeight="1" x14ac:dyDescent="0.25">
      <c r="A667" s="13">
        <v>493375</v>
      </c>
      <c r="B667" s="13">
        <v>21691</v>
      </c>
      <c r="C667" s="13" t="s">
        <v>710</v>
      </c>
      <c r="D667" s="13" t="s">
        <v>711</v>
      </c>
      <c r="E667" s="14">
        <v>40170.504861111112</v>
      </c>
      <c r="F667" s="13">
        <v>3.75</v>
      </c>
      <c r="G667" s="13">
        <v>15514</v>
      </c>
      <c r="H667" s="13" t="s">
        <v>9</v>
      </c>
    </row>
    <row r="668" spans="1:8" ht="15.75" customHeight="1" x14ac:dyDescent="0.25">
      <c r="A668" s="13">
        <v>495706</v>
      </c>
      <c r="B668" s="13" t="s">
        <v>712</v>
      </c>
      <c r="C668" s="13" t="s">
        <v>713</v>
      </c>
      <c r="D668" s="13">
        <v>1</v>
      </c>
      <c r="E668" s="14">
        <v>40204.544444444437</v>
      </c>
      <c r="F668" s="13">
        <v>4.25</v>
      </c>
      <c r="G668" s="13">
        <v>15003</v>
      </c>
      <c r="H668" s="13" t="s">
        <v>9</v>
      </c>
    </row>
    <row r="669" spans="1:8" ht="15.75" customHeight="1" x14ac:dyDescent="0.25">
      <c r="A669" s="13">
        <v>536408</v>
      </c>
      <c r="B669" s="13">
        <v>22619</v>
      </c>
      <c r="C669" s="13" t="s">
        <v>714</v>
      </c>
      <c r="D669" s="13">
        <v>4</v>
      </c>
      <c r="E669" s="14">
        <v>40513.486805555563</v>
      </c>
      <c r="F669" s="13">
        <v>3.75</v>
      </c>
      <c r="G669" s="13">
        <v>14307</v>
      </c>
      <c r="H669" s="13" t="s">
        <v>9</v>
      </c>
    </row>
    <row r="670" spans="1:8" ht="15.75" customHeight="1" x14ac:dyDescent="0.25">
      <c r="A670" s="13">
        <v>535803</v>
      </c>
      <c r="B670" s="13">
        <v>22988</v>
      </c>
      <c r="C670" s="13" t="s">
        <v>715</v>
      </c>
      <c r="D670" s="13">
        <v>24</v>
      </c>
      <c r="E670" s="14">
        <v>40510.622916666667</v>
      </c>
      <c r="F670" s="13">
        <v>1.25</v>
      </c>
      <c r="G670" s="13">
        <v>14410</v>
      </c>
      <c r="H670" s="13" t="s">
        <v>9</v>
      </c>
    </row>
    <row r="671" spans="1:8" ht="15.75" customHeight="1" x14ac:dyDescent="0.25">
      <c r="A671" s="13">
        <v>521546</v>
      </c>
      <c r="B671" s="13">
        <v>22588</v>
      </c>
      <c r="C671" s="13" t="s">
        <v>273</v>
      </c>
      <c r="D671" s="13">
        <v>6</v>
      </c>
      <c r="E671" s="14">
        <v>40427.644444444442</v>
      </c>
      <c r="F671" s="13">
        <v>2.5499999999999998</v>
      </c>
      <c r="G671" s="13">
        <v>13769</v>
      </c>
      <c r="H671" s="13" t="s">
        <v>9</v>
      </c>
    </row>
    <row r="672" spans="1:8" ht="15.75" customHeight="1" x14ac:dyDescent="0.25">
      <c r="A672" s="13">
        <v>516788</v>
      </c>
      <c r="B672" s="13">
        <v>20914</v>
      </c>
      <c r="C672" s="13" t="s">
        <v>78</v>
      </c>
      <c r="D672" s="13">
        <v>32</v>
      </c>
      <c r="E672" s="14">
        <v>40382.416666666657</v>
      </c>
      <c r="F672" s="13">
        <v>2.5499999999999998</v>
      </c>
      <c r="G672" s="13">
        <v>16843</v>
      </c>
      <c r="H672" s="13" t="s">
        <v>9</v>
      </c>
    </row>
    <row r="673" spans="1:8" ht="15.75" customHeight="1" x14ac:dyDescent="0.25">
      <c r="A673" s="13">
        <v>501710</v>
      </c>
      <c r="B673" s="13">
        <v>22151</v>
      </c>
      <c r="C673" s="13" t="s">
        <v>227</v>
      </c>
      <c r="D673" s="13">
        <v>24</v>
      </c>
      <c r="E673" s="14">
        <v>40256.421527777777</v>
      </c>
      <c r="F673" s="13">
        <v>0.42</v>
      </c>
      <c r="G673" s="13">
        <v>17738</v>
      </c>
      <c r="H673" s="13" t="s">
        <v>9</v>
      </c>
    </row>
    <row r="674" spans="1:8" ht="15.75" customHeight="1" x14ac:dyDescent="0.25">
      <c r="A674" s="13">
        <v>494870</v>
      </c>
      <c r="B674" s="13" t="s">
        <v>577</v>
      </c>
      <c r="C674" s="13" t="s">
        <v>578</v>
      </c>
      <c r="D674" s="13">
        <v>12</v>
      </c>
      <c r="E674" s="14">
        <v>40197.510416666657</v>
      </c>
      <c r="F674" s="13">
        <v>0.85</v>
      </c>
      <c r="G674" s="13">
        <v>15998</v>
      </c>
      <c r="H674" s="13" t="s">
        <v>9</v>
      </c>
    </row>
    <row r="675" spans="1:8" ht="15.75" customHeight="1" x14ac:dyDescent="0.25">
      <c r="A675" s="13">
        <v>490156</v>
      </c>
      <c r="B675" s="13">
        <v>84692</v>
      </c>
      <c r="C675" s="13" t="s">
        <v>716</v>
      </c>
      <c r="D675" s="13">
        <v>50</v>
      </c>
      <c r="E675" s="14">
        <v>40151.438888888893</v>
      </c>
      <c r="F675" s="13">
        <v>0.42</v>
      </c>
      <c r="G675" s="13">
        <v>13093</v>
      </c>
      <c r="H675" s="13" t="s">
        <v>9</v>
      </c>
    </row>
    <row r="676" spans="1:8" ht="15.75" customHeight="1" x14ac:dyDescent="0.25">
      <c r="A676" s="13">
        <v>494632</v>
      </c>
      <c r="B676" s="13">
        <v>21213</v>
      </c>
      <c r="C676" s="13" t="s">
        <v>243</v>
      </c>
      <c r="D676" s="13">
        <v>24</v>
      </c>
      <c r="E676" s="13" t="s">
        <v>717</v>
      </c>
      <c r="F676" s="13" t="s">
        <v>718</v>
      </c>
      <c r="G676" s="13">
        <v>15633</v>
      </c>
      <c r="H676" s="13" t="s">
        <v>9</v>
      </c>
    </row>
    <row r="677" spans="1:8" ht="15.75" customHeight="1" x14ac:dyDescent="0.25">
      <c r="A677" s="13">
        <v>520196</v>
      </c>
      <c r="B677" s="13" t="s">
        <v>719</v>
      </c>
      <c r="C677" s="13" t="s">
        <v>720</v>
      </c>
      <c r="D677" s="13">
        <v>3</v>
      </c>
      <c r="E677" s="14">
        <v>40414.624305555553</v>
      </c>
      <c r="F677" s="13">
        <v>3.75</v>
      </c>
      <c r="G677" s="13">
        <v>16161</v>
      </c>
      <c r="H677" s="13" t="s">
        <v>9</v>
      </c>
    </row>
    <row r="678" spans="1:8" ht="15.75" customHeight="1" x14ac:dyDescent="0.25">
      <c r="A678" s="13">
        <v>496288</v>
      </c>
      <c r="B678" s="13">
        <v>21700</v>
      </c>
      <c r="C678" s="13" t="s">
        <v>721</v>
      </c>
      <c r="D678" s="13">
        <v>12</v>
      </c>
      <c r="E678" s="14">
        <v>40207.725694444453</v>
      </c>
      <c r="F678" s="13">
        <v>0.85</v>
      </c>
      <c r="G678" s="13">
        <v>17603</v>
      </c>
      <c r="H678" s="13" t="s">
        <v>132</v>
      </c>
    </row>
    <row r="679" spans="1:8" ht="15.75" customHeight="1" x14ac:dyDescent="0.25">
      <c r="A679" s="13">
        <v>510546</v>
      </c>
      <c r="B679" s="13">
        <v>84674</v>
      </c>
      <c r="C679" s="13" t="s">
        <v>722</v>
      </c>
      <c r="D679" s="13">
        <v>2</v>
      </c>
      <c r="E679" s="14">
        <v>40330.65625</v>
      </c>
      <c r="F679" s="13">
        <v>2.95</v>
      </c>
      <c r="G679" s="13">
        <v>13110</v>
      </c>
      <c r="H679" s="13" t="s">
        <v>9</v>
      </c>
    </row>
    <row r="680" spans="1:8" ht="15.75" customHeight="1" x14ac:dyDescent="0.25">
      <c r="A680" s="13">
        <v>508483</v>
      </c>
      <c r="B680" s="13" t="s">
        <v>395</v>
      </c>
      <c r="C680" s="13" t="s">
        <v>401</v>
      </c>
      <c r="D680" s="13">
        <v>1</v>
      </c>
      <c r="E680" s="14">
        <v>40314.535416666673</v>
      </c>
      <c r="F680" s="13">
        <v>3.75</v>
      </c>
      <c r="G680" s="13">
        <v>17841</v>
      </c>
      <c r="H680" s="13" t="s">
        <v>9</v>
      </c>
    </row>
    <row r="681" spans="1:8" ht="15.75" customHeight="1" x14ac:dyDescent="0.25">
      <c r="A681" s="13">
        <v>496977</v>
      </c>
      <c r="B681" s="13">
        <v>82600</v>
      </c>
      <c r="C681" s="13" t="s">
        <v>268</v>
      </c>
      <c r="D681" s="13">
        <v>12</v>
      </c>
      <c r="E681" s="14">
        <v>40214.40902777778</v>
      </c>
      <c r="F681" s="13">
        <v>2.1</v>
      </c>
      <c r="G681" s="13">
        <v>13823</v>
      </c>
      <c r="H681" s="13" t="s">
        <v>9</v>
      </c>
    </row>
    <row r="682" spans="1:8" ht="15.75" customHeight="1" x14ac:dyDescent="0.25">
      <c r="A682" s="13">
        <v>509151</v>
      </c>
      <c r="B682" s="13" t="s">
        <v>723</v>
      </c>
      <c r="C682" s="13" t="s">
        <v>724</v>
      </c>
      <c r="D682" s="13">
        <v>1</v>
      </c>
      <c r="E682" s="14">
        <v>40318.54583333333</v>
      </c>
      <c r="F682" s="13">
        <v>2.95</v>
      </c>
      <c r="G682" s="13">
        <v>14606</v>
      </c>
      <c r="H682" s="13" t="s">
        <v>9</v>
      </c>
    </row>
    <row r="683" spans="1:8" ht="15.75" customHeight="1" x14ac:dyDescent="0.25">
      <c r="A683" s="13">
        <v>514630</v>
      </c>
      <c r="B683" s="13">
        <v>82581</v>
      </c>
      <c r="C683" s="13" t="s">
        <v>725</v>
      </c>
      <c r="D683" s="13">
        <v>6</v>
      </c>
      <c r="E683" s="14">
        <v>40364.523611111108</v>
      </c>
      <c r="F683" s="13">
        <v>0.55000000000000004</v>
      </c>
      <c r="G683" s="13">
        <v>16458</v>
      </c>
      <c r="H683" s="13" t="s">
        <v>9</v>
      </c>
    </row>
    <row r="684" spans="1:8" ht="15.75" customHeight="1" x14ac:dyDescent="0.25">
      <c r="A684" s="13">
        <v>508484</v>
      </c>
      <c r="B684" s="13">
        <v>22061</v>
      </c>
      <c r="C684" s="13" t="s">
        <v>473</v>
      </c>
      <c r="D684" s="13">
        <v>1</v>
      </c>
      <c r="E684" s="14">
        <v>40314.537499999999</v>
      </c>
      <c r="F684" s="13">
        <v>9.9499999999999993</v>
      </c>
      <c r="G684" s="13">
        <v>17582</v>
      </c>
      <c r="H684" s="13" t="s">
        <v>9</v>
      </c>
    </row>
    <row r="685" spans="1:8" ht="15.75" customHeight="1" x14ac:dyDescent="0.25">
      <c r="A685" s="13">
        <v>498132</v>
      </c>
      <c r="B685" s="13">
        <v>21410</v>
      </c>
      <c r="C685" s="13" t="s">
        <v>726</v>
      </c>
      <c r="D685" s="13">
        <v>1</v>
      </c>
      <c r="E685" s="14">
        <v>40225.703472222223</v>
      </c>
      <c r="F685" s="13">
        <v>4.25</v>
      </c>
      <c r="G685" s="13">
        <v>16774</v>
      </c>
      <c r="H685" s="13" t="s">
        <v>9</v>
      </c>
    </row>
    <row r="686" spans="1:8" ht="15.75" customHeight="1" x14ac:dyDescent="0.25">
      <c r="A686" s="13">
        <v>529547</v>
      </c>
      <c r="B686" s="13">
        <v>21212</v>
      </c>
      <c r="C686" s="13" t="s">
        <v>497</v>
      </c>
      <c r="D686" s="13">
        <v>24</v>
      </c>
      <c r="E686" s="14">
        <v>40479.717361111107</v>
      </c>
      <c r="F686" s="13">
        <v>0.55000000000000004</v>
      </c>
      <c r="G686" s="13">
        <v>14276</v>
      </c>
      <c r="H686" s="13" t="s">
        <v>9</v>
      </c>
    </row>
    <row r="687" spans="1:8" ht="15.75" customHeight="1" x14ac:dyDescent="0.25">
      <c r="A687" s="13">
        <v>536235</v>
      </c>
      <c r="B687" s="13">
        <v>20655</v>
      </c>
      <c r="C687" s="13" t="s">
        <v>727</v>
      </c>
      <c r="D687" s="13">
        <v>2</v>
      </c>
      <c r="E687" s="14">
        <v>40512.597916666673</v>
      </c>
      <c r="F687" s="13" t="s">
        <v>42</v>
      </c>
      <c r="G687" s="13">
        <v>18101</v>
      </c>
      <c r="H687" s="13" t="s">
        <v>9</v>
      </c>
    </row>
    <row r="688" spans="1:8" ht="15.75" customHeight="1" x14ac:dyDescent="0.25">
      <c r="A688" s="13">
        <v>523065</v>
      </c>
      <c r="B688" s="13">
        <v>21486</v>
      </c>
      <c r="C688" s="13" t="s">
        <v>728</v>
      </c>
      <c r="D688" s="13">
        <v>2</v>
      </c>
      <c r="E688" s="14">
        <v>40441.503472222219</v>
      </c>
      <c r="F688" s="13">
        <v>3.75</v>
      </c>
      <c r="G688" s="13">
        <v>16919</v>
      </c>
      <c r="H688" s="13" t="s">
        <v>9</v>
      </c>
    </row>
    <row r="689" spans="1:8" ht="15.75" customHeight="1" x14ac:dyDescent="0.25">
      <c r="A689" s="13">
        <v>491717</v>
      </c>
      <c r="B689" s="13" t="s">
        <v>729</v>
      </c>
      <c r="C689" s="13" t="s">
        <v>730</v>
      </c>
      <c r="D689" s="13">
        <v>1</v>
      </c>
      <c r="E689" s="14">
        <v>40160.662499999999</v>
      </c>
      <c r="F689" s="13">
        <v>1.25</v>
      </c>
      <c r="G689" s="13">
        <v>16725</v>
      </c>
      <c r="H689" s="13" t="s">
        <v>9</v>
      </c>
    </row>
    <row r="690" spans="1:8" ht="15.75" customHeight="1" x14ac:dyDescent="0.25">
      <c r="A690" s="13">
        <v>512411</v>
      </c>
      <c r="B690" s="13">
        <v>21777</v>
      </c>
      <c r="C690" s="13" t="s">
        <v>14</v>
      </c>
      <c r="D690" s="13">
        <v>48</v>
      </c>
      <c r="E690" s="14">
        <v>40344.554861111108</v>
      </c>
      <c r="F690" s="13">
        <v>6.95</v>
      </c>
      <c r="G690" s="13">
        <v>14156</v>
      </c>
      <c r="H690" s="13" t="s">
        <v>11</v>
      </c>
    </row>
    <row r="691" spans="1:8" ht="15.75" customHeight="1" x14ac:dyDescent="0.25">
      <c r="A691" s="13">
        <v>526889</v>
      </c>
      <c r="B691" s="13" t="s">
        <v>701</v>
      </c>
      <c r="C691" s="13" t="s">
        <v>702</v>
      </c>
      <c r="D691" s="13">
        <v>11</v>
      </c>
      <c r="E691" s="14">
        <v>40464.61041666667</v>
      </c>
      <c r="F691" s="13">
        <v>1.25</v>
      </c>
      <c r="G691" s="13">
        <v>14667</v>
      </c>
      <c r="H691" s="13" t="s">
        <v>9</v>
      </c>
    </row>
    <row r="692" spans="1:8" ht="15.75" customHeight="1" x14ac:dyDescent="0.25">
      <c r="A692" s="13">
        <v>521901</v>
      </c>
      <c r="B692" s="13">
        <v>21989</v>
      </c>
      <c r="C692" s="13" t="s">
        <v>731</v>
      </c>
      <c r="D692" s="13">
        <v>3</v>
      </c>
      <c r="E692" s="14">
        <v>40430.525694444441</v>
      </c>
      <c r="F692" s="13">
        <v>0.85</v>
      </c>
      <c r="G692" s="13">
        <v>14688</v>
      </c>
      <c r="H692" s="13" t="s">
        <v>9</v>
      </c>
    </row>
    <row r="693" spans="1:8" ht="15.75" customHeight="1" x14ac:dyDescent="0.25">
      <c r="A693" s="13">
        <v>526484</v>
      </c>
      <c r="B693" s="13">
        <v>22403</v>
      </c>
      <c r="C693" s="13" t="s">
        <v>732</v>
      </c>
      <c r="D693" s="13">
        <v>12</v>
      </c>
      <c r="E693" s="14">
        <v>40463.325694444437</v>
      </c>
      <c r="F693" s="13">
        <v>1.25</v>
      </c>
      <c r="G693" s="13">
        <v>17710</v>
      </c>
      <c r="H693" s="13" t="s">
        <v>9</v>
      </c>
    </row>
    <row r="694" spans="1:8" ht="15.75" customHeight="1" x14ac:dyDescent="0.25">
      <c r="A694" s="13">
        <v>514563</v>
      </c>
      <c r="B694" s="13">
        <v>22411</v>
      </c>
      <c r="C694" s="13" t="s">
        <v>206</v>
      </c>
      <c r="D694" s="13">
        <v>10</v>
      </c>
      <c r="E694" s="14">
        <v>40364.491666666669</v>
      </c>
      <c r="F694" s="13">
        <v>1.95</v>
      </c>
      <c r="G694" s="13">
        <v>15039</v>
      </c>
      <c r="H694" s="13" t="s">
        <v>9</v>
      </c>
    </row>
    <row r="695" spans="1:8" ht="15.75" customHeight="1" x14ac:dyDescent="0.25">
      <c r="A695" s="13">
        <v>526388</v>
      </c>
      <c r="B695" s="13">
        <v>21669</v>
      </c>
      <c r="C695" s="13" t="s">
        <v>733</v>
      </c>
      <c r="D695" s="13">
        <v>1</v>
      </c>
      <c r="E695" s="14">
        <v>40462.536111111112</v>
      </c>
      <c r="F695" s="13">
        <v>1.25</v>
      </c>
      <c r="G695" s="13">
        <v>17264</v>
      </c>
      <c r="H695" s="13" t="s">
        <v>9</v>
      </c>
    </row>
    <row r="696" spans="1:8" ht="15.75" customHeight="1" x14ac:dyDescent="0.25">
      <c r="A696" s="13">
        <v>513615</v>
      </c>
      <c r="B696" s="13">
        <v>21843</v>
      </c>
      <c r="C696" s="13" t="s">
        <v>734</v>
      </c>
      <c r="D696" s="13">
        <v>2</v>
      </c>
      <c r="E696" s="14">
        <v>40356.517361111109</v>
      </c>
      <c r="F696" s="13">
        <v>10.95</v>
      </c>
      <c r="G696" s="13">
        <v>15998</v>
      </c>
      <c r="H696" s="13" t="s">
        <v>9</v>
      </c>
    </row>
    <row r="697" spans="1:8" ht="15.75" customHeight="1" x14ac:dyDescent="0.25">
      <c r="A697" s="13">
        <v>514511</v>
      </c>
      <c r="B697" s="13">
        <v>21982</v>
      </c>
      <c r="C697" s="13" t="s">
        <v>735</v>
      </c>
      <c r="D697" s="13">
        <v>12</v>
      </c>
      <c r="E697" s="14">
        <v>40363.563194444447</v>
      </c>
      <c r="F697" s="13">
        <v>0.28999999999999998</v>
      </c>
      <c r="G697" s="13">
        <v>16032</v>
      </c>
      <c r="H697" s="13" t="s">
        <v>57</v>
      </c>
    </row>
    <row r="698" spans="1:8" ht="15.75" customHeight="1" x14ac:dyDescent="0.25">
      <c r="A698" s="13">
        <v>498095</v>
      </c>
      <c r="B698" s="13">
        <v>22318</v>
      </c>
      <c r="C698" s="13" t="s">
        <v>10</v>
      </c>
      <c r="D698" s="13">
        <v>4</v>
      </c>
      <c r="E698" s="14">
        <v>40225.534722222219</v>
      </c>
      <c r="F698" s="13">
        <v>2.95</v>
      </c>
      <c r="G698" s="13">
        <v>16940</v>
      </c>
      <c r="H698" s="13" t="s">
        <v>9</v>
      </c>
    </row>
    <row r="699" spans="1:8" ht="15.75" customHeight="1" x14ac:dyDescent="0.25">
      <c r="A699" s="13">
        <v>507405</v>
      </c>
      <c r="B699" s="13">
        <v>72741</v>
      </c>
      <c r="C699" s="13" t="s">
        <v>397</v>
      </c>
      <c r="D699" s="13">
        <v>18</v>
      </c>
      <c r="E699" s="14">
        <v>40307.572222222218</v>
      </c>
      <c r="F699" s="13">
        <v>1.45</v>
      </c>
      <c r="G699" s="13">
        <v>15109</v>
      </c>
      <c r="H699" s="13" t="s">
        <v>9</v>
      </c>
    </row>
    <row r="700" spans="1:8" ht="15.75" customHeight="1" x14ac:dyDescent="0.25">
      <c r="A700" s="13">
        <v>512949</v>
      </c>
      <c r="B700" s="13">
        <v>21034</v>
      </c>
      <c r="C700" s="13" t="s">
        <v>414</v>
      </c>
      <c r="D700" s="13">
        <v>1</v>
      </c>
      <c r="E700" s="14">
        <v>40349.67083333333</v>
      </c>
      <c r="F700" s="13">
        <v>0.95</v>
      </c>
      <c r="G700" s="13">
        <v>15555</v>
      </c>
      <c r="H700" s="13" t="s">
        <v>9</v>
      </c>
    </row>
    <row r="701" spans="1:8" ht="15.75" customHeight="1" x14ac:dyDescent="0.25">
      <c r="A701" s="13">
        <v>506873</v>
      </c>
      <c r="B701" s="13">
        <v>85060</v>
      </c>
      <c r="C701" s="13" t="s">
        <v>736</v>
      </c>
      <c r="D701" s="13">
        <v>24</v>
      </c>
      <c r="E701" s="14">
        <v>40302.679166666669</v>
      </c>
      <c r="F701" s="13">
        <v>1.25</v>
      </c>
      <c r="G701" s="13">
        <v>17188</v>
      </c>
      <c r="H701" s="13" t="s">
        <v>9</v>
      </c>
    </row>
    <row r="702" spans="1:8" ht="15.75" customHeight="1" x14ac:dyDescent="0.25">
      <c r="A702" s="13">
        <v>536214</v>
      </c>
      <c r="B702" s="13">
        <v>22149</v>
      </c>
      <c r="C702" s="13" t="s">
        <v>450</v>
      </c>
      <c r="D702" s="13">
        <v>6</v>
      </c>
      <c r="E702" s="14">
        <v>40512.56527777778</v>
      </c>
      <c r="F702" s="13">
        <v>2.1</v>
      </c>
      <c r="G702" s="13">
        <v>16600</v>
      </c>
      <c r="H702" s="13" t="s">
        <v>9</v>
      </c>
    </row>
    <row r="703" spans="1:8" ht="15.75" customHeight="1" x14ac:dyDescent="0.25">
      <c r="A703" s="13" t="s">
        <v>737</v>
      </c>
      <c r="B703" s="13" t="s">
        <v>738</v>
      </c>
      <c r="C703" s="13" t="s">
        <v>739</v>
      </c>
      <c r="D703" s="13">
        <v>-1</v>
      </c>
      <c r="E703" s="14">
        <v>40280.374305555553</v>
      </c>
      <c r="F703" s="13">
        <v>4.25</v>
      </c>
      <c r="G703" s="13">
        <v>16554</v>
      </c>
      <c r="H703" s="13" t="s">
        <v>9</v>
      </c>
    </row>
    <row r="704" spans="1:8" ht="15.75" customHeight="1" x14ac:dyDescent="0.25">
      <c r="A704" s="13">
        <v>490685</v>
      </c>
      <c r="B704" s="13" t="s">
        <v>740</v>
      </c>
      <c r="C704" s="13" t="s">
        <v>741</v>
      </c>
      <c r="D704" s="13">
        <v>32</v>
      </c>
      <c r="E704" s="14">
        <v>40154.574999999997</v>
      </c>
      <c r="F704" s="13">
        <v>1.95</v>
      </c>
      <c r="G704" s="13">
        <v>13206</v>
      </c>
      <c r="H704" s="13" t="s">
        <v>9</v>
      </c>
    </row>
    <row r="705" spans="1:8" ht="15.75" customHeight="1" x14ac:dyDescent="0.25">
      <c r="A705" s="13">
        <v>529323</v>
      </c>
      <c r="B705" s="13">
        <v>22697</v>
      </c>
      <c r="C705" s="13" t="s">
        <v>699</v>
      </c>
      <c r="D705" s="13">
        <v>3</v>
      </c>
      <c r="E705" s="13" t="s">
        <v>742</v>
      </c>
      <c r="F705" s="13">
        <v>2.95</v>
      </c>
      <c r="G705" s="13">
        <v>16713</v>
      </c>
      <c r="H705" s="13" t="s">
        <v>9</v>
      </c>
    </row>
    <row r="706" spans="1:8" ht="15.75" customHeight="1" x14ac:dyDescent="0.25">
      <c r="A706" s="13">
        <v>517712</v>
      </c>
      <c r="B706" s="13" t="s">
        <v>743</v>
      </c>
      <c r="C706" s="13" t="s">
        <v>744</v>
      </c>
      <c r="D706" s="13">
        <v>6</v>
      </c>
      <c r="E706" s="14">
        <v>40391.470138888893</v>
      </c>
      <c r="F706" s="13">
        <v>4.95</v>
      </c>
      <c r="G706" s="13">
        <v>13564</v>
      </c>
      <c r="H706" s="13" t="s">
        <v>9</v>
      </c>
    </row>
    <row r="707" spans="1:8" ht="15.75" customHeight="1" x14ac:dyDescent="0.25">
      <c r="A707" s="13">
        <v>514809</v>
      </c>
      <c r="B707" s="13">
        <v>22636</v>
      </c>
      <c r="C707" s="13" t="s">
        <v>745</v>
      </c>
      <c r="D707" s="13">
        <v>52</v>
      </c>
      <c r="E707" s="14">
        <v>40365.488888888889</v>
      </c>
      <c r="F707" s="13">
        <v>7.65</v>
      </c>
      <c r="G707" s="13">
        <v>12678</v>
      </c>
      <c r="H707" s="13" t="s">
        <v>28</v>
      </c>
    </row>
    <row r="708" spans="1:8" ht="15.75" customHeight="1" x14ac:dyDescent="0.25">
      <c r="A708" s="13">
        <v>490705</v>
      </c>
      <c r="B708" s="13">
        <v>22083</v>
      </c>
      <c r="C708" s="13" t="s">
        <v>20</v>
      </c>
      <c r="D708" s="13">
        <v>40</v>
      </c>
      <c r="E708" s="14">
        <v>40154.62222222222</v>
      </c>
      <c r="F708" s="13">
        <v>2.5499999999999998</v>
      </c>
      <c r="G708" s="13">
        <v>12913</v>
      </c>
      <c r="H708" s="13" t="s">
        <v>9</v>
      </c>
    </row>
    <row r="709" spans="1:8" ht="15.75" customHeight="1" x14ac:dyDescent="0.25">
      <c r="A709" s="13">
        <v>503730</v>
      </c>
      <c r="B709" s="13">
        <v>84691</v>
      </c>
      <c r="C709" s="13" t="s">
        <v>746</v>
      </c>
      <c r="D709" s="13">
        <v>12</v>
      </c>
      <c r="E709" s="13" t="s">
        <v>747</v>
      </c>
      <c r="F709" s="13">
        <v>0.85</v>
      </c>
      <c r="G709" s="13">
        <v>17563</v>
      </c>
      <c r="H709" s="13" t="s">
        <v>9</v>
      </c>
    </row>
    <row r="710" spans="1:8" ht="15.75" customHeight="1" x14ac:dyDescent="0.25">
      <c r="A710" s="13">
        <v>535787</v>
      </c>
      <c r="B710" s="13">
        <v>22969</v>
      </c>
      <c r="C710" s="13" t="s">
        <v>748</v>
      </c>
      <c r="D710" s="13">
        <v>12</v>
      </c>
      <c r="E710" s="14">
        <v>40510.593055555553</v>
      </c>
      <c r="F710" s="13">
        <v>1.45</v>
      </c>
      <c r="G710" s="13">
        <v>13295</v>
      </c>
      <c r="H710" s="13" t="s">
        <v>9</v>
      </c>
    </row>
    <row r="711" spans="1:8" ht="15.75" customHeight="1" x14ac:dyDescent="0.25">
      <c r="A711" s="13">
        <v>530540</v>
      </c>
      <c r="B711" s="13" t="s">
        <v>594</v>
      </c>
      <c r="C711" s="13" t="s">
        <v>595</v>
      </c>
      <c r="D711" s="13">
        <v>10</v>
      </c>
      <c r="E711" s="14">
        <v>40485.545138888891</v>
      </c>
      <c r="F711" s="13">
        <v>1.95</v>
      </c>
      <c r="G711" s="13">
        <v>12793</v>
      </c>
      <c r="H711" s="13" t="s">
        <v>245</v>
      </c>
    </row>
    <row r="712" spans="1:8" ht="15.75" customHeight="1" x14ac:dyDescent="0.25">
      <c r="A712" s="13">
        <v>505969</v>
      </c>
      <c r="B712" s="13">
        <v>22171</v>
      </c>
      <c r="C712" s="13" t="s">
        <v>749</v>
      </c>
      <c r="D712" s="13">
        <v>1</v>
      </c>
      <c r="E712" s="14">
        <v>40294.691666666673</v>
      </c>
      <c r="F712" s="13">
        <v>8.5</v>
      </c>
      <c r="G712" s="13">
        <v>17231</v>
      </c>
      <c r="H712" s="13" t="s">
        <v>9</v>
      </c>
    </row>
    <row r="713" spans="1:8" ht="15.75" customHeight="1" x14ac:dyDescent="0.25">
      <c r="A713" s="13">
        <v>507840</v>
      </c>
      <c r="B713" s="13">
        <v>21175</v>
      </c>
      <c r="C713" s="13" t="s">
        <v>118</v>
      </c>
      <c r="D713" s="13">
        <v>3</v>
      </c>
      <c r="E713" s="14">
        <v>40309.568055555559</v>
      </c>
      <c r="F713" s="13">
        <v>2.1</v>
      </c>
      <c r="G713" s="13">
        <v>16487</v>
      </c>
      <c r="H713" s="13" t="s">
        <v>9</v>
      </c>
    </row>
    <row r="714" spans="1:8" ht="15.75" customHeight="1" x14ac:dyDescent="0.25">
      <c r="A714" s="13">
        <v>519580</v>
      </c>
      <c r="B714" s="13">
        <v>21770</v>
      </c>
      <c r="C714" s="13" t="s">
        <v>750</v>
      </c>
      <c r="D714" s="13">
        <v>1</v>
      </c>
      <c r="E714" s="14">
        <v>40408.549305555563</v>
      </c>
      <c r="F714" s="13">
        <v>4.95</v>
      </c>
      <c r="G714" s="13">
        <v>16675</v>
      </c>
      <c r="H714" s="13" t="s">
        <v>9</v>
      </c>
    </row>
    <row r="715" spans="1:8" ht="15.75" customHeight="1" x14ac:dyDescent="0.25">
      <c r="A715" s="13">
        <v>519691</v>
      </c>
      <c r="B715" s="13" t="s">
        <v>751</v>
      </c>
      <c r="C715" s="13" t="s">
        <v>752</v>
      </c>
      <c r="D715" s="13">
        <v>1</v>
      </c>
      <c r="E715" s="14">
        <v>40409.563888888893</v>
      </c>
      <c r="F715" s="13">
        <v>3.75</v>
      </c>
      <c r="G715" s="13">
        <v>17841</v>
      </c>
      <c r="H715" s="13" t="s">
        <v>9</v>
      </c>
    </row>
    <row r="716" spans="1:8" ht="15.75" customHeight="1" x14ac:dyDescent="0.25">
      <c r="A716" s="13">
        <v>489562</v>
      </c>
      <c r="B716" s="13">
        <v>22139</v>
      </c>
      <c r="C716" s="13" t="s">
        <v>135</v>
      </c>
      <c r="D716" s="13">
        <v>1</v>
      </c>
      <c r="E716" s="14">
        <v>40148.546527777777</v>
      </c>
      <c r="F716" s="13">
        <v>4.95</v>
      </c>
      <c r="G716" s="13">
        <v>17998</v>
      </c>
      <c r="H716" s="13" t="s">
        <v>9</v>
      </c>
    </row>
    <row r="717" spans="1:8" ht="15.75" customHeight="1" x14ac:dyDescent="0.25">
      <c r="A717" s="13">
        <v>524708</v>
      </c>
      <c r="B717" s="13">
        <v>22086</v>
      </c>
      <c r="C717" s="13" t="s">
        <v>753</v>
      </c>
      <c r="D717" s="13">
        <v>6</v>
      </c>
      <c r="E717" s="14">
        <v>40451.526388888888</v>
      </c>
      <c r="F717" s="13">
        <v>2.95</v>
      </c>
      <c r="G717" s="13">
        <v>13394</v>
      </c>
      <c r="H717" s="13" t="s">
        <v>9</v>
      </c>
    </row>
    <row r="718" spans="1:8" ht="15.75" customHeight="1" x14ac:dyDescent="0.25">
      <c r="A718" s="13">
        <v>501542</v>
      </c>
      <c r="B718" s="13">
        <v>22356</v>
      </c>
      <c r="C718" s="13" t="s">
        <v>754</v>
      </c>
      <c r="D718" s="13">
        <v>30</v>
      </c>
      <c r="E718" s="14">
        <v>40254.602083333331</v>
      </c>
      <c r="F718" s="13">
        <v>0.85</v>
      </c>
      <c r="G718" s="13">
        <v>16004</v>
      </c>
      <c r="H718" s="13" t="s">
        <v>9</v>
      </c>
    </row>
    <row r="719" spans="1:8" ht="15.75" customHeight="1" x14ac:dyDescent="0.25">
      <c r="A719" s="13">
        <v>506254</v>
      </c>
      <c r="B719" s="13">
        <v>21156</v>
      </c>
      <c r="C719" s="13" t="s">
        <v>88</v>
      </c>
      <c r="D719" s="13">
        <v>16</v>
      </c>
      <c r="E719" s="14">
        <v>40296.582638888889</v>
      </c>
      <c r="F719" s="13">
        <v>1.95</v>
      </c>
      <c r="G719" s="13">
        <v>12714</v>
      </c>
      <c r="H719" s="13" t="s">
        <v>28</v>
      </c>
    </row>
    <row r="720" spans="1:8" ht="15.75" customHeight="1" x14ac:dyDescent="0.25">
      <c r="A720" s="13">
        <v>498046</v>
      </c>
      <c r="B720" s="13">
        <v>21283</v>
      </c>
      <c r="C720" s="13" t="s">
        <v>755</v>
      </c>
      <c r="D720" s="13">
        <v>4</v>
      </c>
      <c r="E720" s="14">
        <v>40225.447222222218</v>
      </c>
      <c r="F720" s="13">
        <v>3.25</v>
      </c>
      <c r="G720" s="13">
        <v>15051</v>
      </c>
      <c r="H720" s="13" t="s">
        <v>9</v>
      </c>
    </row>
    <row r="721" spans="1:8" ht="15.75" customHeight="1" x14ac:dyDescent="0.25">
      <c r="A721" s="13">
        <v>517977</v>
      </c>
      <c r="B721" s="13">
        <v>22666</v>
      </c>
      <c r="C721" s="13" t="s">
        <v>756</v>
      </c>
      <c r="D721" s="13">
        <v>1</v>
      </c>
      <c r="E721" s="14">
        <v>40393.599305555559</v>
      </c>
      <c r="F721" s="13">
        <v>2.95</v>
      </c>
      <c r="G721" s="13">
        <v>16938</v>
      </c>
      <c r="H721" s="13" t="s">
        <v>9</v>
      </c>
    </row>
    <row r="722" spans="1:8" ht="15.75" customHeight="1" x14ac:dyDescent="0.25">
      <c r="A722" s="13">
        <v>532088</v>
      </c>
      <c r="B722" s="13">
        <v>21039</v>
      </c>
      <c r="C722" s="13" t="s">
        <v>757</v>
      </c>
      <c r="D722" s="13">
        <v>6</v>
      </c>
      <c r="E722" s="13" t="s">
        <v>758</v>
      </c>
      <c r="F722" s="13">
        <v>2.5499999999999998</v>
      </c>
      <c r="G722" s="13">
        <v>12583</v>
      </c>
      <c r="H722" s="13" t="s">
        <v>28</v>
      </c>
    </row>
    <row r="723" spans="1:8" ht="15.75" customHeight="1" x14ac:dyDescent="0.25">
      <c r="A723" s="13">
        <v>532803</v>
      </c>
      <c r="B723" s="13" t="s">
        <v>759</v>
      </c>
      <c r="C723" s="13" t="s">
        <v>760</v>
      </c>
      <c r="D723" s="13">
        <v>4</v>
      </c>
      <c r="E723" s="14">
        <v>40496.622916666667</v>
      </c>
      <c r="F723" s="13">
        <v>7.95</v>
      </c>
      <c r="G723" s="13">
        <v>17544</v>
      </c>
      <c r="H723" s="13" t="s">
        <v>9</v>
      </c>
    </row>
    <row r="724" spans="1:8" ht="15.75" customHeight="1" x14ac:dyDescent="0.25">
      <c r="A724" s="13">
        <v>504890</v>
      </c>
      <c r="B724" s="13">
        <v>22098</v>
      </c>
      <c r="C724" s="13" t="s">
        <v>761</v>
      </c>
      <c r="D724" s="13">
        <v>1</v>
      </c>
      <c r="E724" s="14">
        <v>40286.578472222223</v>
      </c>
      <c r="F724" s="13">
        <v>1.25</v>
      </c>
      <c r="G724" s="13">
        <v>14415</v>
      </c>
      <c r="H724" s="13" t="s">
        <v>9</v>
      </c>
    </row>
    <row r="725" spans="1:8" ht="15.75" customHeight="1" x14ac:dyDescent="0.25">
      <c r="A725" s="13">
        <v>527759</v>
      </c>
      <c r="B725" s="13">
        <v>21181</v>
      </c>
      <c r="C725" s="13" t="s">
        <v>498</v>
      </c>
      <c r="D725" s="13">
        <v>24</v>
      </c>
      <c r="E725" s="14">
        <v>40469.71597222222</v>
      </c>
      <c r="F725" s="13">
        <v>2.1</v>
      </c>
      <c r="G725" s="13">
        <v>14572</v>
      </c>
      <c r="H725" s="13" t="s">
        <v>9</v>
      </c>
    </row>
    <row r="726" spans="1:8" ht="15.75" customHeight="1" x14ac:dyDescent="0.25">
      <c r="A726" s="13">
        <v>537594</v>
      </c>
      <c r="B726" s="13">
        <v>22244</v>
      </c>
      <c r="C726" s="13" t="s">
        <v>762</v>
      </c>
      <c r="D726" s="13">
        <v>12</v>
      </c>
      <c r="E726" s="14">
        <v>40519.519444444442</v>
      </c>
      <c r="F726" s="13">
        <v>1.95</v>
      </c>
      <c r="G726" s="13">
        <v>12647</v>
      </c>
      <c r="H726" s="13" t="s">
        <v>17</v>
      </c>
    </row>
    <row r="727" spans="1:8" ht="15.75" customHeight="1" x14ac:dyDescent="0.25">
      <c r="A727" s="13">
        <v>506957</v>
      </c>
      <c r="B727" s="13">
        <v>22719</v>
      </c>
      <c r="C727" s="13" t="s">
        <v>763</v>
      </c>
      <c r="D727" s="13">
        <v>3</v>
      </c>
      <c r="E727" s="14">
        <v>40303.495138888888</v>
      </c>
      <c r="F727" s="13">
        <v>1.25</v>
      </c>
      <c r="G727" s="13">
        <v>18231</v>
      </c>
      <c r="H727" s="13" t="s">
        <v>655</v>
      </c>
    </row>
    <row r="728" spans="1:8" ht="15.75" customHeight="1" x14ac:dyDescent="0.25">
      <c r="A728" s="13">
        <v>531468</v>
      </c>
      <c r="B728" s="13">
        <v>22158</v>
      </c>
      <c r="C728" s="13" t="s">
        <v>764</v>
      </c>
      <c r="D728" s="13">
        <v>3</v>
      </c>
      <c r="E728" s="14">
        <v>40490.581944444442</v>
      </c>
      <c r="F728" s="13">
        <v>2.95</v>
      </c>
      <c r="G728" s="13">
        <v>14821</v>
      </c>
      <c r="H728" s="13" t="s">
        <v>9</v>
      </c>
    </row>
    <row r="729" spans="1:8" ht="15.75" customHeight="1" x14ac:dyDescent="0.25">
      <c r="A729" s="13">
        <v>495369</v>
      </c>
      <c r="B729" s="13">
        <v>84879</v>
      </c>
      <c r="C729" s="13" t="s">
        <v>143</v>
      </c>
      <c r="D729" s="13">
        <v>16</v>
      </c>
      <c r="E729" s="14">
        <v>40202.521527777782</v>
      </c>
      <c r="F729" s="13">
        <v>1.69</v>
      </c>
      <c r="G729" s="13">
        <v>13527</v>
      </c>
      <c r="H729" s="13" t="s">
        <v>9</v>
      </c>
    </row>
    <row r="730" spans="1:8" ht="15.75" customHeight="1" x14ac:dyDescent="0.25">
      <c r="A730" s="13">
        <v>498222</v>
      </c>
      <c r="B730" s="13">
        <v>72741</v>
      </c>
      <c r="C730" s="13" t="s">
        <v>397</v>
      </c>
      <c r="D730" s="13">
        <v>9</v>
      </c>
      <c r="E730" s="14">
        <v>40226.584027777782</v>
      </c>
      <c r="F730" s="13">
        <v>1.45</v>
      </c>
      <c r="G730" s="13">
        <v>14584</v>
      </c>
      <c r="H730" s="13" t="s">
        <v>9</v>
      </c>
    </row>
    <row r="731" spans="1:8" ht="15.75" customHeight="1" x14ac:dyDescent="0.25">
      <c r="A731" s="13">
        <v>523626</v>
      </c>
      <c r="B731" s="13">
        <v>21084</v>
      </c>
      <c r="C731" s="13" t="s">
        <v>765</v>
      </c>
      <c r="D731" s="13">
        <v>12</v>
      </c>
      <c r="E731" s="14">
        <v>40444.476388888892</v>
      </c>
      <c r="F731" s="13">
        <v>0.65</v>
      </c>
      <c r="G731" s="13">
        <v>17735</v>
      </c>
      <c r="H731" s="13" t="s">
        <v>9</v>
      </c>
    </row>
    <row r="732" spans="1:8" ht="15.75" customHeight="1" x14ac:dyDescent="0.25">
      <c r="A732" s="13">
        <v>521159</v>
      </c>
      <c r="B732" s="13" t="s">
        <v>277</v>
      </c>
      <c r="C732" s="13" t="s">
        <v>278</v>
      </c>
      <c r="D732" s="13">
        <v>30</v>
      </c>
      <c r="E732" s="14">
        <v>40423.581250000003</v>
      </c>
      <c r="F732" s="13">
        <v>1.95</v>
      </c>
      <c r="G732" s="13">
        <v>16779</v>
      </c>
      <c r="H732" s="13" t="s">
        <v>57</v>
      </c>
    </row>
    <row r="733" spans="1:8" ht="15.75" customHeight="1" x14ac:dyDescent="0.25">
      <c r="A733" s="13">
        <v>533143</v>
      </c>
      <c r="B733" s="13">
        <v>22355</v>
      </c>
      <c r="C733" s="13" t="s">
        <v>766</v>
      </c>
      <c r="D733" s="13">
        <v>10</v>
      </c>
      <c r="E733" s="14">
        <v>40498.561111111107</v>
      </c>
      <c r="F733" s="13">
        <v>0.85</v>
      </c>
      <c r="G733" s="13">
        <v>12766</v>
      </c>
      <c r="H733" s="13" t="s">
        <v>245</v>
      </c>
    </row>
    <row r="734" spans="1:8" ht="15.75" customHeight="1" x14ac:dyDescent="0.25">
      <c r="A734" s="13">
        <v>507664</v>
      </c>
      <c r="B734" s="13">
        <v>85141</v>
      </c>
      <c r="C734" s="13" t="s">
        <v>767</v>
      </c>
      <c r="D734" s="13">
        <v>2</v>
      </c>
      <c r="E734" s="14">
        <v>40308.710416666669</v>
      </c>
      <c r="F734" s="13">
        <v>10.75</v>
      </c>
      <c r="G734" s="13">
        <v>17871</v>
      </c>
      <c r="H734" s="13" t="s">
        <v>9</v>
      </c>
    </row>
    <row r="735" spans="1:8" ht="15.75" customHeight="1" x14ac:dyDescent="0.25">
      <c r="A735" s="13">
        <v>518848</v>
      </c>
      <c r="B735" s="13">
        <v>21463</v>
      </c>
      <c r="C735" s="13" t="s">
        <v>600</v>
      </c>
      <c r="D735" s="13">
        <v>2</v>
      </c>
      <c r="E735" s="14">
        <v>40402.493055555547</v>
      </c>
      <c r="F735" s="13">
        <v>5.95</v>
      </c>
      <c r="G735" s="13">
        <v>15298</v>
      </c>
      <c r="H735" s="13" t="s">
        <v>9</v>
      </c>
    </row>
    <row r="736" spans="1:8" ht="15.75" customHeight="1" x14ac:dyDescent="0.25">
      <c r="A736" s="13">
        <v>508468</v>
      </c>
      <c r="B736" s="13">
        <v>22430</v>
      </c>
      <c r="C736" s="13" t="s">
        <v>768</v>
      </c>
      <c r="D736" s="13">
        <v>5</v>
      </c>
      <c r="E736" s="14">
        <v>40314.448611111111</v>
      </c>
      <c r="F736" s="13">
        <v>4.95</v>
      </c>
      <c r="G736" s="13">
        <v>14060</v>
      </c>
      <c r="H736" s="13" t="s">
        <v>9</v>
      </c>
    </row>
    <row r="737" spans="1:8" ht="15.75" customHeight="1" x14ac:dyDescent="0.25">
      <c r="A737" s="13">
        <v>521367</v>
      </c>
      <c r="B737" s="13">
        <v>20972</v>
      </c>
      <c r="C737" s="13" t="s">
        <v>512</v>
      </c>
      <c r="D737" s="13">
        <v>12</v>
      </c>
      <c r="E737" s="14">
        <v>40426.461111111108</v>
      </c>
      <c r="F737" s="13">
        <v>1.25</v>
      </c>
      <c r="G737" s="13">
        <v>14753</v>
      </c>
      <c r="H737" s="13" t="s">
        <v>9</v>
      </c>
    </row>
    <row r="738" spans="1:8" ht="15.75" customHeight="1" x14ac:dyDescent="0.25">
      <c r="A738" s="13" t="s">
        <v>769</v>
      </c>
      <c r="B738" s="13">
        <v>22806</v>
      </c>
      <c r="C738" s="13" t="s">
        <v>770</v>
      </c>
      <c r="D738" s="13">
        <v>-48</v>
      </c>
      <c r="E738" s="14">
        <v>40473.585416666669</v>
      </c>
      <c r="F738" s="13">
        <v>2.5499999999999998</v>
      </c>
      <c r="G738" s="13">
        <v>13316</v>
      </c>
      <c r="H738" s="13" t="s">
        <v>9</v>
      </c>
    </row>
    <row r="739" spans="1:8" ht="15.75" customHeight="1" x14ac:dyDescent="0.25">
      <c r="A739" s="13">
        <v>537254</v>
      </c>
      <c r="B739" s="13">
        <v>22149</v>
      </c>
      <c r="C739" s="13" t="s">
        <v>450</v>
      </c>
      <c r="D739" s="13">
        <v>2</v>
      </c>
      <c r="E739" s="14">
        <v>40518.459027777782</v>
      </c>
      <c r="F739" s="13">
        <v>2.1</v>
      </c>
      <c r="G739" s="13">
        <v>15898</v>
      </c>
      <c r="H739" s="13" t="s">
        <v>9</v>
      </c>
    </row>
    <row r="740" spans="1:8" ht="15.75" customHeight="1" x14ac:dyDescent="0.25">
      <c r="A740" s="13">
        <v>515335</v>
      </c>
      <c r="B740" s="13" t="s">
        <v>21</v>
      </c>
      <c r="C740" s="13" t="s">
        <v>22</v>
      </c>
      <c r="D740" s="13">
        <v>1</v>
      </c>
      <c r="E740" s="14">
        <v>40370.59652777778</v>
      </c>
      <c r="F740" s="13">
        <v>5.95</v>
      </c>
      <c r="G740" s="13">
        <v>14606</v>
      </c>
      <c r="H740" s="13" t="s">
        <v>9</v>
      </c>
    </row>
    <row r="741" spans="1:8" ht="15.75" customHeight="1" x14ac:dyDescent="0.25">
      <c r="A741" s="13">
        <v>512946</v>
      </c>
      <c r="B741" s="13" t="s">
        <v>771</v>
      </c>
      <c r="C741" s="13" t="s">
        <v>772</v>
      </c>
      <c r="D741" s="13">
        <v>4</v>
      </c>
      <c r="E741" s="14">
        <v>40349.647222222222</v>
      </c>
      <c r="F741" s="13">
        <v>0.85</v>
      </c>
      <c r="G741" s="13">
        <v>17625</v>
      </c>
      <c r="H741" s="13" t="s">
        <v>57</v>
      </c>
    </row>
    <row r="742" spans="1:8" ht="15.75" customHeight="1" x14ac:dyDescent="0.25">
      <c r="A742" s="13">
        <v>501657</v>
      </c>
      <c r="B742" s="13">
        <v>21894</v>
      </c>
      <c r="C742" s="13" t="s">
        <v>773</v>
      </c>
      <c r="D742" s="13">
        <v>1</v>
      </c>
      <c r="E742" s="14">
        <v>40255.548611111109</v>
      </c>
      <c r="F742" s="13">
        <v>1.25</v>
      </c>
      <c r="G742" s="13">
        <v>13243</v>
      </c>
      <c r="H742" s="13" t="s">
        <v>9</v>
      </c>
    </row>
    <row r="743" spans="1:8" ht="15.75" customHeight="1" x14ac:dyDescent="0.25">
      <c r="A743" s="13">
        <v>535953</v>
      </c>
      <c r="B743" s="13" t="s">
        <v>277</v>
      </c>
      <c r="C743" s="13" t="s">
        <v>278</v>
      </c>
      <c r="D743" s="13">
        <v>10</v>
      </c>
      <c r="E743" s="14">
        <v>40511.509027777778</v>
      </c>
      <c r="F743" s="13">
        <v>1.95</v>
      </c>
      <c r="G743" s="13">
        <v>15039</v>
      </c>
      <c r="H743" s="13" t="s">
        <v>9</v>
      </c>
    </row>
    <row r="744" spans="1:8" ht="15.75" customHeight="1" x14ac:dyDescent="0.25">
      <c r="A744" s="13">
        <v>533827</v>
      </c>
      <c r="B744" s="13">
        <v>22543</v>
      </c>
      <c r="C744" s="13" t="s">
        <v>774</v>
      </c>
      <c r="D744" s="13">
        <v>24</v>
      </c>
      <c r="E744" s="14">
        <v>40501.420138888891</v>
      </c>
      <c r="F744" s="13">
        <v>0.42</v>
      </c>
      <c r="G744" s="13">
        <v>12670</v>
      </c>
      <c r="H744" s="13" t="s">
        <v>28</v>
      </c>
    </row>
    <row r="745" spans="1:8" ht="15.75" customHeight="1" x14ac:dyDescent="0.25">
      <c r="A745" s="13">
        <v>532802</v>
      </c>
      <c r="B745" s="13">
        <v>84692</v>
      </c>
      <c r="C745" s="13" t="s">
        <v>716</v>
      </c>
      <c r="D745" s="13">
        <v>3</v>
      </c>
      <c r="E745" s="14">
        <v>40496.62222222222</v>
      </c>
      <c r="F745" s="13">
        <v>0.42</v>
      </c>
      <c r="G745" s="13">
        <v>17255</v>
      </c>
      <c r="H745" s="13" t="s">
        <v>9</v>
      </c>
    </row>
    <row r="746" spans="1:8" ht="15.75" customHeight="1" x14ac:dyDescent="0.25">
      <c r="A746" s="13">
        <v>489574</v>
      </c>
      <c r="B746" s="13">
        <v>21893</v>
      </c>
      <c r="C746" s="13" t="s">
        <v>775</v>
      </c>
      <c r="D746" s="13">
        <v>3</v>
      </c>
      <c r="E746" s="14">
        <v>40148.563194444447</v>
      </c>
      <c r="F746" s="13">
        <v>4.25</v>
      </c>
      <c r="G746" s="13">
        <v>13097</v>
      </c>
      <c r="H746" s="13" t="s">
        <v>9</v>
      </c>
    </row>
    <row r="747" spans="1:8" ht="15.75" customHeight="1" x14ac:dyDescent="0.25">
      <c r="A747" s="13">
        <v>494679</v>
      </c>
      <c r="B747" s="13">
        <v>22179</v>
      </c>
      <c r="C747" s="13" t="s">
        <v>628</v>
      </c>
      <c r="D747" s="13">
        <v>2</v>
      </c>
      <c r="E747" s="14">
        <v>40196.432638888888</v>
      </c>
      <c r="F747" s="13">
        <v>6.75</v>
      </c>
      <c r="G747" s="13">
        <v>12877</v>
      </c>
      <c r="H747" s="13" t="s">
        <v>9</v>
      </c>
    </row>
    <row r="748" spans="1:8" ht="15.75" customHeight="1" x14ac:dyDescent="0.25">
      <c r="A748" s="13">
        <v>527284</v>
      </c>
      <c r="B748" s="13">
        <v>85161</v>
      </c>
      <c r="C748" s="13" t="s">
        <v>776</v>
      </c>
      <c r="D748" s="13">
        <v>1</v>
      </c>
      <c r="E748" s="14">
        <v>40466.571527777778</v>
      </c>
      <c r="F748" s="13">
        <v>18.95</v>
      </c>
      <c r="G748" s="13">
        <v>12748</v>
      </c>
      <c r="H748" s="13" t="s">
        <v>9</v>
      </c>
    </row>
    <row r="749" spans="1:8" ht="15.75" customHeight="1" x14ac:dyDescent="0.25">
      <c r="A749" s="13">
        <v>495237</v>
      </c>
      <c r="B749" s="13">
        <v>22355</v>
      </c>
      <c r="C749" s="13" t="s">
        <v>97</v>
      </c>
      <c r="D749" s="13">
        <v>10</v>
      </c>
      <c r="E749" s="14">
        <v>40200.405555555553</v>
      </c>
      <c r="F749" s="13">
        <v>0.85</v>
      </c>
      <c r="G749" s="13">
        <v>17160</v>
      </c>
      <c r="H749" s="13" t="s">
        <v>9</v>
      </c>
    </row>
    <row r="750" spans="1:8" ht="15.75" customHeight="1" x14ac:dyDescent="0.25">
      <c r="A750" s="13">
        <v>532290</v>
      </c>
      <c r="B750" s="13">
        <v>22677</v>
      </c>
      <c r="C750" s="13" t="s">
        <v>777</v>
      </c>
      <c r="D750" s="13">
        <v>10</v>
      </c>
      <c r="E750" s="14">
        <v>40493.55972222222</v>
      </c>
      <c r="F750" s="13">
        <v>1.25</v>
      </c>
      <c r="G750" s="13">
        <v>17675</v>
      </c>
      <c r="H750" s="13" t="s">
        <v>9</v>
      </c>
    </row>
    <row r="751" spans="1:8" ht="15.75" customHeight="1" x14ac:dyDescent="0.25">
      <c r="A751" s="13">
        <v>493432</v>
      </c>
      <c r="B751" s="13" t="s">
        <v>778</v>
      </c>
      <c r="C751" s="13" t="s">
        <v>779</v>
      </c>
      <c r="D751" s="13">
        <v>2</v>
      </c>
      <c r="E751" s="14">
        <v>40182.520833333343</v>
      </c>
      <c r="F751" s="13">
        <v>9.9499999999999993</v>
      </c>
      <c r="G751" s="13">
        <v>14680</v>
      </c>
      <c r="H751" s="13" t="s">
        <v>57</v>
      </c>
    </row>
    <row r="752" spans="1:8" ht="15.75" customHeight="1" x14ac:dyDescent="0.25">
      <c r="A752" s="13">
        <v>513750</v>
      </c>
      <c r="B752" s="13">
        <v>22534</v>
      </c>
      <c r="C752" s="13" t="s">
        <v>780</v>
      </c>
      <c r="D752" s="13">
        <v>2</v>
      </c>
      <c r="E752" s="14">
        <v>40357.526388888888</v>
      </c>
      <c r="F752" s="13">
        <v>0.42</v>
      </c>
      <c r="G752" s="13">
        <v>17019</v>
      </c>
      <c r="H752" s="13" t="s">
        <v>9</v>
      </c>
    </row>
    <row r="753" spans="1:8" ht="15.75" customHeight="1" x14ac:dyDescent="0.25">
      <c r="A753" s="13">
        <v>509973</v>
      </c>
      <c r="B753" s="13" t="s">
        <v>781</v>
      </c>
      <c r="C753" s="13" t="s">
        <v>782</v>
      </c>
      <c r="D753" s="13">
        <v>6</v>
      </c>
      <c r="E753" s="14">
        <v>40324.565972222219</v>
      </c>
      <c r="F753" s="13">
        <v>2.95</v>
      </c>
      <c r="G753" s="13">
        <v>14938</v>
      </c>
      <c r="H753" s="13" t="s">
        <v>230</v>
      </c>
    </row>
    <row r="754" spans="1:8" ht="15.75" customHeight="1" x14ac:dyDescent="0.25">
      <c r="A754" s="13">
        <v>513830</v>
      </c>
      <c r="B754" s="13">
        <v>22417</v>
      </c>
      <c r="C754" s="13" t="s">
        <v>451</v>
      </c>
      <c r="D754" s="13">
        <v>24</v>
      </c>
      <c r="E754" s="14">
        <v>40358.45416666667</v>
      </c>
      <c r="F754" s="13">
        <v>0.55000000000000004</v>
      </c>
      <c r="G754" s="13">
        <v>13089</v>
      </c>
      <c r="H754" s="13" t="s">
        <v>9</v>
      </c>
    </row>
    <row r="755" spans="1:8" ht="15.75" customHeight="1" x14ac:dyDescent="0.25">
      <c r="A755" s="13">
        <v>505721</v>
      </c>
      <c r="B755" s="13">
        <v>21657</v>
      </c>
      <c r="C755" s="13" t="s">
        <v>783</v>
      </c>
      <c r="D755" s="13">
        <v>1</v>
      </c>
      <c r="E755" s="14">
        <v>40293.569444444453</v>
      </c>
      <c r="F755" s="13">
        <v>6.95</v>
      </c>
      <c r="G755" s="13">
        <v>15055</v>
      </c>
      <c r="H755" s="13" t="s">
        <v>9</v>
      </c>
    </row>
    <row r="756" spans="1:8" ht="15.75" customHeight="1" x14ac:dyDescent="0.25">
      <c r="A756" s="13">
        <v>506000</v>
      </c>
      <c r="B756" s="13">
        <v>21896</v>
      </c>
      <c r="C756" s="13" t="s">
        <v>784</v>
      </c>
      <c r="D756" s="13">
        <v>26</v>
      </c>
      <c r="E756" s="14">
        <v>40295.455555555563</v>
      </c>
      <c r="F756" s="13">
        <v>2.1</v>
      </c>
      <c r="G756" s="13">
        <v>16088</v>
      </c>
      <c r="H756" s="13" t="s">
        <v>9</v>
      </c>
    </row>
    <row r="757" spans="1:8" ht="15.75" customHeight="1" x14ac:dyDescent="0.25">
      <c r="A757" s="13">
        <v>513975</v>
      </c>
      <c r="B757" s="13">
        <v>22649</v>
      </c>
      <c r="C757" s="13" t="s">
        <v>785</v>
      </c>
      <c r="D757" s="13">
        <v>2</v>
      </c>
      <c r="E757" s="14">
        <v>40358.696527777778</v>
      </c>
      <c r="F757" s="13">
        <v>4.95</v>
      </c>
      <c r="G757" s="13">
        <v>13451</v>
      </c>
      <c r="H757" s="13" t="s">
        <v>9</v>
      </c>
    </row>
    <row r="758" spans="1:8" ht="15.75" customHeight="1" x14ac:dyDescent="0.25">
      <c r="A758" s="13">
        <v>525073</v>
      </c>
      <c r="B758" s="13" t="s">
        <v>786</v>
      </c>
      <c r="C758" s="13" t="s">
        <v>787</v>
      </c>
      <c r="D758" s="13">
        <v>2</v>
      </c>
      <c r="E758" s="14">
        <v>40454.619444444441</v>
      </c>
      <c r="F758" s="13">
        <v>18</v>
      </c>
      <c r="G758" s="13">
        <v>12490</v>
      </c>
      <c r="H758" s="13" t="s">
        <v>28</v>
      </c>
    </row>
    <row r="759" spans="1:8" ht="15.75" customHeight="1" x14ac:dyDescent="0.25">
      <c r="A759" s="13" t="s">
        <v>788</v>
      </c>
      <c r="B759" s="13">
        <v>20761</v>
      </c>
      <c r="C759" s="13" t="s">
        <v>789</v>
      </c>
      <c r="D759" s="13">
        <v>-4</v>
      </c>
      <c r="E759" s="14">
        <v>40246.573611111111</v>
      </c>
      <c r="F759" s="13">
        <v>3.75</v>
      </c>
      <c r="G759" s="13">
        <v>14748</v>
      </c>
      <c r="H759" s="13" t="s">
        <v>9</v>
      </c>
    </row>
    <row r="760" spans="1:8" ht="15.75" customHeight="1" x14ac:dyDescent="0.25">
      <c r="A760" s="13">
        <v>531754</v>
      </c>
      <c r="B760" s="13">
        <v>22767</v>
      </c>
      <c r="C760" s="13" t="s">
        <v>790</v>
      </c>
      <c r="D760" s="13" t="s">
        <v>711</v>
      </c>
      <c r="E760" s="14">
        <v>40491.553472222222</v>
      </c>
      <c r="F760" s="13">
        <v>9.9499999999999993</v>
      </c>
      <c r="G760" s="13">
        <v>16977</v>
      </c>
      <c r="H760" s="13" t="s">
        <v>9</v>
      </c>
    </row>
    <row r="761" spans="1:8" ht="15.75" customHeight="1" x14ac:dyDescent="0.25">
      <c r="A761" s="13">
        <v>498827</v>
      </c>
      <c r="B761" s="13" t="s">
        <v>791</v>
      </c>
      <c r="C761" s="13" t="s">
        <v>792</v>
      </c>
      <c r="D761" s="13">
        <v>100</v>
      </c>
      <c r="E761" s="14">
        <v>40232.48333333333</v>
      </c>
      <c r="F761" s="13">
        <v>1.69</v>
      </c>
      <c r="G761" s="13">
        <v>13798</v>
      </c>
      <c r="H761" s="13" t="s">
        <v>57</v>
      </c>
    </row>
    <row r="762" spans="1:8" ht="15.75" customHeight="1" x14ac:dyDescent="0.25">
      <c r="A762" s="13">
        <v>493050</v>
      </c>
      <c r="B762" s="13">
        <v>21479</v>
      </c>
      <c r="C762" s="13" t="s">
        <v>422</v>
      </c>
      <c r="D762" s="13">
        <v>1</v>
      </c>
      <c r="E762" s="14">
        <v>40168.683333333327</v>
      </c>
      <c r="F762" s="13">
        <v>3.75</v>
      </c>
      <c r="G762" s="13">
        <v>17377</v>
      </c>
      <c r="H762" s="13" t="s">
        <v>9</v>
      </c>
    </row>
    <row r="763" spans="1:8" ht="15.75" customHeight="1" x14ac:dyDescent="0.25">
      <c r="A763" s="13">
        <v>515192</v>
      </c>
      <c r="B763" s="13">
        <v>21115</v>
      </c>
      <c r="C763" s="13" t="s">
        <v>793</v>
      </c>
      <c r="D763" s="13">
        <v>3</v>
      </c>
      <c r="E763" s="14">
        <v>40368.43472222222</v>
      </c>
      <c r="F763" s="13">
        <v>6.75</v>
      </c>
      <c r="G763" s="13">
        <v>18225</v>
      </c>
      <c r="H763" s="13" t="s">
        <v>9</v>
      </c>
    </row>
    <row r="764" spans="1:8" ht="15.75" customHeight="1" x14ac:dyDescent="0.25">
      <c r="A764" s="13">
        <v>502848</v>
      </c>
      <c r="B764" s="13">
        <v>82486</v>
      </c>
      <c r="C764" s="13" t="s">
        <v>794</v>
      </c>
      <c r="D764" s="13">
        <v>2</v>
      </c>
      <c r="E764" s="14">
        <v>40265.586111111108</v>
      </c>
      <c r="F764" s="13">
        <v>7.95</v>
      </c>
      <c r="G764" s="13">
        <v>15570</v>
      </c>
      <c r="H764" s="13" t="s">
        <v>9</v>
      </c>
    </row>
    <row r="765" spans="1:8" ht="15.75" customHeight="1" x14ac:dyDescent="0.25">
      <c r="A765" s="13">
        <v>530302</v>
      </c>
      <c r="B765" s="13">
        <v>22411</v>
      </c>
      <c r="C765" s="13" t="s">
        <v>206</v>
      </c>
      <c r="D765" s="13">
        <v>10</v>
      </c>
      <c r="E765" s="14">
        <v>40484.546527777777</v>
      </c>
      <c r="F765" s="13">
        <v>1.95</v>
      </c>
      <c r="G765" s="13">
        <v>17003</v>
      </c>
      <c r="H765" s="13" t="s">
        <v>9</v>
      </c>
    </row>
    <row r="766" spans="1:8" ht="15.75" customHeight="1" x14ac:dyDescent="0.25">
      <c r="A766" s="13">
        <v>503432</v>
      </c>
      <c r="B766" s="13">
        <v>22468</v>
      </c>
      <c r="C766" s="13" t="s">
        <v>592</v>
      </c>
      <c r="D766" s="13">
        <v>6</v>
      </c>
      <c r="E766" s="14">
        <v>40269.356944444437</v>
      </c>
      <c r="F766" s="13">
        <v>6.75</v>
      </c>
      <c r="G766" s="13">
        <v>17739</v>
      </c>
      <c r="H766" s="13" t="s">
        <v>9</v>
      </c>
    </row>
    <row r="767" spans="1:8" ht="15.75" customHeight="1" x14ac:dyDescent="0.25">
      <c r="A767" s="13">
        <v>493716</v>
      </c>
      <c r="B767" s="13">
        <v>21614</v>
      </c>
      <c r="C767" s="13" t="s">
        <v>795</v>
      </c>
      <c r="D767" s="13">
        <v>6</v>
      </c>
      <c r="E767" s="14">
        <v>40183.701388888891</v>
      </c>
      <c r="F767" s="13">
        <v>2.95</v>
      </c>
      <c r="G767" s="13">
        <v>17364</v>
      </c>
      <c r="H767" s="13" t="s">
        <v>9</v>
      </c>
    </row>
    <row r="768" spans="1:8" ht="15.75" customHeight="1" x14ac:dyDescent="0.25">
      <c r="A768" s="13">
        <v>498107</v>
      </c>
      <c r="B768" s="13">
        <v>21930</v>
      </c>
      <c r="C768" s="13" t="s">
        <v>58</v>
      </c>
      <c r="D768" s="13">
        <v>10</v>
      </c>
      <c r="E768" s="14">
        <v>40225.581250000003</v>
      </c>
      <c r="F768" s="13">
        <v>1.95</v>
      </c>
      <c r="G768" s="13">
        <v>15078</v>
      </c>
      <c r="H768" s="13" t="s">
        <v>9</v>
      </c>
    </row>
    <row r="769" spans="1:8" ht="15.75" customHeight="1" x14ac:dyDescent="0.25">
      <c r="A769" s="13">
        <v>532964</v>
      </c>
      <c r="B769" s="13">
        <v>22510</v>
      </c>
      <c r="C769" s="13" t="s">
        <v>796</v>
      </c>
      <c r="D769" s="13">
        <v>1</v>
      </c>
      <c r="E769" s="14">
        <v>40497.529861111107</v>
      </c>
      <c r="F769" s="13">
        <v>3.75</v>
      </c>
      <c r="G769" s="13">
        <v>15493</v>
      </c>
      <c r="H769" s="13" t="s">
        <v>9</v>
      </c>
    </row>
    <row r="770" spans="1:8" ht="15.75" customHeight="1" x14ac:dyDescent="0.25">
      <c r="A770" s="13">
        <v>523132</v>
      </c>
      <c r="B770" s="13" t="s">
        <v>797</v>
      </c>
      <c r="C770" s="13" t="s">
        <v>798</v>
      </c>
      <c r="D770" s="13">
        <v>2</v>
      </c>
      <c r="E770" s="14">
        <v>40441.584722222222</v>
      </c>
      <c r="F770" s="13" t="s">
        <v>799</v>
      </c>
      <c r="G770" s="13">
        <v>17167</v>
      </c>
      <c r="H770" s="13" t="s">
        <v>9</v>
      </c>
    </row>
    <row r="771" spans="1:8" ht="15.75" customHeight="1" x14ac:dyDescent="0.25">
      <c r="A771" s="13">
        <v>493326</v>
      </c>
      <c r="B771" s="13">
        <v>21527</v>
      </c>
      <c r="C771" s="13" t="s">
        <v>800</v>
      </c>
      <c r="D771" s="13">
        <v>24</v>
      </c>
      <c r="E771" s="14">
        <v>40170.388888888891</v>
      </c>
      <c r="F771" s="13">
        <v>6.95</v>
      </c>
      <c r="G771" s="13">
        <v>18092</v>
      </c>
      <c r="H771" s="13" t="s">
        <v>9</v>
      </c>
    </row>
    <row r="772" spans="1:8" ht="15.75" customHeight="1" x14ac:dyDescent="0.25">
      <c r="A772" s="13">
        <v>527266</v>
      </c>
      <c r="B772" s="13">
        <v>20724</v>
      </c>
      <c r="C772" s="13" t="s">
        <v>801</v>
      </c>
      <c r="D772" s="13">
        <v>10</v>
      </c>
      <c r="E772" s="14">
        <v>40466.536111111112</v>
      </c>
      <c r="F772" s="13">
        <v>0.85</v>
      </c>
      <c r="G772" s="13">
        <v>15005</v>
      </c>
      <c r="H772" s="13" t="s">
        <v>57</v>
      </c>
    </row>
    <row r="773" spans="1:8" ht="15.75" customHeight="1" x14ac:dyDescent="0.25">
      <c r="A773" s="13">
        <v>500857</v>
      </c>
      <c r="B773" s="13">
        <v>20718</v>
      </c>
      <c r="C773" s="13" t="s">
        <v>593</v>
      </c>
      <c r="D773" s="13">
        <v>3</v>
      </c>
      <c r="E773" s="14">
        <v>40247.515972222223</v>
      </c>
      <c r="F773" s="13">
        <v>1.25</v>
      </c>
      <c r="G773" s="13">
        <v>15911</v>
      </c>
      <c r="H773" s="13" t="s">
        <v>9</v>
      </c>
    </row>
    <row r="774" spans="1:8" ht="15.75" customHeight="1" x14ac:dyDescent="0.25">
      <c r="A774" s="13">
        <v>505636</v>
      </c>
      <c r="B774" s="13">
        <v>84992</v>
      </c>
      <c r="C774" s="13" t="s">
        <v>400</v>
      </c>
      <c r="D774" s="13">
        <v>24</v>
      </c>
      <c r="E774" s="14">
        <v>40291.557638888888</v>
      </c>
      <c r="F774" s="13">
        <v>0.55000000000000004</v>
      </c>
      <c r="G774" s="13">
        <v>14755</v>
      </c>
      <c r="H774" s="13" t="s">
        <v>9</v>
      </c>
    </row>
    <row r="775" spans="1:8" ht="15.75" customHeight="1" x14ac:dyDescent="0.25">
      <c r="A775" s="13">
        <v>525077</v>
      </c>
      <c r="B775" s="13">
        <v>22375</v>
      </c>
      <c r="C775" s="13" t="s">
        <v>641</v>
      </c>
      <c r="D775" s="13">
        <v>6</v>
      </c>
      <c r="E775" s="14">
        <v>40454.645833333343</v>
      </c>
      <c r="F775" s="13">
        <v>4.25</v>
      </c>
      <c r="G775" s="13">
        <v>16485</v>
      </c>
      <c r="H775" s="13" t="s">
        <v>9</v>
      </c>
    </row>
    <row r="776" spans="1:8" ht="15.75" customHeight="1" x14ac:dyDescent="0.25">
      <c r="A776" s="13">
        <v>522384</v>
      </c>
      <c r="B776" s="13">
        <v>21977</v>
      </c>
      <c r="C776" s="13" t="s">
        <v>612</v>
      </c>
      <c r="D776" s="13">
        <v>24</v>
      </c>
      <c r="E776" s="14">
        <v>40435.463888888888</v>
      </c>
      <c r="F776" s="13">
        <v>0.55000000000000004</v>
      </c>
      <c r="G776" s="13">
        <v>15673</v>
      </c>
      <c r="H776" s="13" t="s">
        <v>9</v>
      </c>
    </row>
    <row r="777" spans="1:8" ht="15.75" customHeight="1" x14ac:dyDescent="0.25">
      <c r="A777" s="13">
        <v>528919</v>
      </c>
      <c r="B777" s="13">
        <v>22669</v>
      </c>
      <c r="C777" s="13" t="s">
        <v>307</v>
      </c>
      <c r="D777" s="13">
        <v>2</v>
      </c>
      <c r="E777" s="14">
        <v>40476.602083333331</v>
      </c>
      <c r="F777" s="13">
        <v>2.95</v>
      </c>
      <c r="G777" s="13">
        <v>16259</v>
      </c>
      <c r="H777" s="13" t="s">
        <v>9</v>
      </c>
    </row>
    <row r="778" spans="1:8" ht="15.75" customHeight="1" x14ac:dyDescent="0.25">
      <c r="A778" s="13">
        <v>511474</v>
      </c>
      <c r="B778" s="13" t="s">
        <v>802</v>
      </c>
      <c r="C778" s="13" t="s">
        <v>803</v>
      </c>
      <c r="D778" s="13">
        <v>2</v>
      </c>
      <c r="E778" s="14">
        <v>40337.560416666667</v>
      </c>
      <c r="F778" s="13">
        <v>5.95</v>
      </c>
      <c r="G778" s="13">
        <v>16791</v>
      </c>
      <c r="H778" s="13" t="s">
        <v>9</v>
      </c>
    </row>
    <row r="779" spans="1:8" ht="15.75" customHeight="1" x14ac:dyDescent="0.25">
      <c r="A779" s="13">
        <v>511864</v>
      </c>
      <c r="B779" s="13">
        <v>84991</v>
      </c>
      <c r="C779" s="13" t="s">
        <v>666</v>
      </c>
      <c r="D779" s="13">
        <v>1</v>
      </c>
      <c r="E779" s="14">
        <v>40340.432638888888</v>
      </c>
      <c r="F779" s="13">
        <v>0.55000000000000004</v>
      </c>
      <c r="G779" s="13">
        <v>15910</v>
      </c>
      <c r="H779" s="13" t="s">
        <v>9</v>
      </c>
    </row>
    <row r="780" spans="1:8" ht="15.75" customHeight="1" x14ac:dyDescent="0.25">
      <c r="A780" s="13">
        <v>535457</v>
      </c>
      <c r="B780" s="13">
        <v>84879</v>
      </c>
      <c r="C780" s="13" t="s">
        <v>143</v>
      </c>
      <c r="D780" s="13">
        <v>9</v>
      </c>
      <c r="E780" s="14">
        <v>40508.538888888892</v>
      </c>
      <c r="F780" s="13">
        <v>1.69</v>
      </c>
      <c r="G780" s="13">
        <v>15028</v>
      </c>
      <c r="H780" s="13" t="s">
        <v>9</v>
      </c>
    </row>
    <row r="781" spans="1:8" ht="15.75" customHeight="1" x14ac:dyDescent="0.25">
      <c r="A781" s="13">
        <v>521958</v>
      </c>
      <c r="B781" s="13">
        <v>21239</v>
      </c>
      <c r="C781" s="13" t="s">
        <v>804</v>
      </c>
      <c r="D781" s="13">
        <v>8</v>
      </c>
      <c r="E781" s="14">
        <v>40430.759722222218</v>
      </c>
      <c r="F781" s="13">
        <v>0.85</v>
      </c>
      <c r="G781" s="13">
        <v>12708</v>
      </c>
      <c r="H781" s="13" t="s">
        <v>17</v>
      </c>
    </row>
    <row r="782" spans="1:8" ht="15.75" customHeight="1" x14ac:dyDescent="0.25">
      <c r="A782" s="13">
        <v>521896</v>
      </c>
      <c r="B782" s="13">
        <v>22197</v>
      </c>
      <c r="C782" s="13" t="s">
        <v>805</v>
      </c>
      <c r="D782" s="13">
        <v>12</v>
      </c>
      <c r="E782" s="14">
        <v>40430.513194444437</v>
      </c>
      <c r="F782" s="13">
        <v>0.85</v>
      </c>
      <c r="G782" s="13">
        <v>12682</v>
      </c>
      <c r="H782" s="13" t="s">
        <v>28</v>
      </c>
    </row>
    <row r="783" spans="1:8" ht="15.75" customHeight="1" x14ac:dyDescent="0.25">
      <c r="A783" s="13">
        <v>517336</v>
      </c>
      <c r="B783" s="13">
        <v>20975</v>
      </c>
      <c r="C783" s="13" t="s">
        <v>806</v>
      </c>
      <c r="D783" s="13">
        <v>4</v>
      </c>
      <c r="E783" s="14">
        <v>40387.566666666673</v>
      </c>
      <c r="F783" s="13">
        <v>0.65</v>
      </c>
      <c r="G783" s="13">
        <v>13590</v>
      </c>
      <c r="H783" s="13" t="s">
        <v>9</v>
      </c>
    </row>
    <row r="784" spans="1:8" ht="15.75" customHeight="1" x14ac:dyDescent="0.25">
      <c r="A784" s="13">
        <v>503251</v>
      </c>
      <c r="B784" s="13">
        <v>21590</v>
      </c>
      <c r="C784" s="13" t="s">
        <v>345</v>
      </c>
      <c r="D784" s="13">
        <v>24</v>
      </c>
      <c r="E784" s="13" t="s">
        <v>807</v>
      </c>
      <c r="F784" s="13">
        <v>1.25</v>
      </c>
      <c r="G784" s="13">
        <v>15754</v>
      </c>
      <c r="H784" s="13" t="s">
        <v>9</v>
      </c>
    </row>
    <row r="785" spans="1:8" ht="15.75" customHeight="1" x14ac:dyDescent="0.25">
      <c r="A785" s="13">
        <v>530323</v>
      </c>
      <c r="B785" s="13">
        <v>22776</v>
      </c>
      <c r="C785" s="13" t="s">
        <v>808</v>
      </c>
      <c r="D785" s="13">
        <v>1</v>
      </c>
      <c r="E785" s="14">
        <v>40484.566666666673</v>
      </c>
      <c r="F785" s="13">
        <v>9.9499999999999993</v>
      </c>
      <c r="G785" s="13">
        <v>16255</v>
      </c>
      <c r="H785" s="13" t="s">
        <v>9</v>
      </c>
    </row>
    <row r="786" spans="1:8" ht="15.75" customHeight="1" x14ac:dyDescent="0.25">
      <c r="A786" s="13">
        <v>505364</v>
      </c>
      <c r="B786" s="13">
        <v>35644</v>
      </c>
      <c r="C786" s="13" t="s">
        <v>809</v>
      </c>
      <c r="D786" s="13">
        <v>4</v>
      </c>
      <c r="E786" s="14">
        <v>40289.656944444447</v>
      </c>
      <c r="F786" s="13">
        <v>1.95</v>
      </c>
      <c r="G786" s="13">
        <v>14395</v>
      </c>
      <c r="H786" s="13" t="s">
        <v>9</v>
      </c>
    </row>
    <row r="787" spans="1:8" ht="15.75" customHeight="1" x14ac:dyDescent="0.25">
      <c r="A787" s="13">
        <v>517960</v>
      </c>
      <c r="B787" s="13">
        <v>22386</v>
      </c>
      <c r="C787" s="13" t="s">
        <v>810</v>
      </c>
      <c r="D787" s="13">
        <v>10</v>
      </c>
      <c r="E787" s="14">
        <v>40393.522222222222</v>
      </c>
      <c r="F787" s="13">
        <v>1.95</v>
      </c>
      <c r="G787" s="13">
        <v>14841</v>
      </c>
      <c r="H787" s="13" t="s">
        <v>9</v>
      </c>
    </row>
    <row r="788" spans="1:8" ht="15.75" customHeight="1" x14ac:dyDescent="0.25">
      <c r="A788" s="13">
        <v>510141</v>
      </c>
      <c r="B788" s="13">
        <v>21158</v>
      </c>
      <c r="C788" s="13" t="s">
        <v>811</v>
      </c>
      <c r="D788" s="13">
        <v>1</v>
      </c>
      <c r="E788" s="14">
        <v>40325.520833333343</v>
      </c>
      <c r="F788" s="13">
        <v>1.45</v>
      </c>
      <c r="G788" s="13">
        <v>14069</v>
      </c>
      <c r="H788" s="13" t="s">
        <v>9</v>
      </c>
    </row>
    <row r="789" spans="1:8" ht="15.75" customHeight="1" x14ac:dyDescent="0.25">
      <c r="A789" s="13">
        <v>525433</v>
      </c>
      <c r="B789" s="13">
        <v>21755</v>
      </c>
      <c r="C789" s="13" t="s">
        <v>360</v>
      </c>
      <c r="D789" s="13">
        <v>3</v>
      </c>
      <c r="E789" s="14">
        <v>40456.552083333343</v>
      </c>
      <c r="F789" s="13">
        <v>5.95</v>
      </c>
      <c r="G789" s="13">
        <v>14180</v>
      </c>
      <c r="H789" s="13" t="s">
        <v>9</v>
      </c>
    </row>
    <row r="790" spans="1:8" ht="15.75" customHeight="1" x14ac:dyDescent="0.25">
      <c r="A790" s="13">
        <v>534160</v>
      </c>
      <c r="B790" s="13">
        <v>21107</v>
      </c>
      <c r="C790" s="13" t="s">
        <v>672</v>
      </c>
      <c r="D790" s="13">
        <v>1</v>
      </c>
      <c r="E790" s="14">
        <v>40503.538194444453</v>
      </c>
      <c r="F790" s="13">
        <v>2.95</v>
      </c>
      <c r="G790" s="13">
        <v>12858</v>
      </c>
      <c r="H790" s="13" t="s">
        <v>9</v>
      </c>
    </row>
    <row r="791" spans="1:8" ht="15.75" customHeight="1" x14ac:dyDescent="0.25">
      <c r="A791" s="13">
        <v>505496</v>
      </c>
      <c r="B791" s="13">
        <v>22554</v>
      </c>
      <c r="C791" s="13" t="s">
        <v>812</v>
      </c>
      <c r="D791" s="13">
        <v>12</v>
      </c>
      <c r="E791" s="14">
        <v>40290.55972222222</v>
      </c>
      <c r="F791" s="13">
        <v>1.65</v>
      </c>
      <c r="G791" s="13">
        <v>15651</v>
      </c>
      <c r="H791" s="13" t="s">
        <v>9</v>
      </c>
    </row>
    <row r="792" spans="1:8" ht="15.75" customHeight="1" x14ac:dyDescent="0.25">
      <c r="A792" s="13">
        <v>524420</v>
      </c>
      <c r="B792" s="13">
        <v>21744</v>
      </c>
      <c r="C792" s="13" t="s">
        <v>813</v>
      </c>
      <c r="D792" s="13">
        <v>12</v>
      </c>
      <c r="E792" s="14">
        <v>40450.431944444441</v>
      </c>
      <c r="F792" s="13">
        <v>2.95</v>
      </c>
      <c r="G792" s="13">
        <v>16293</v>
      </c>
      <c r="H792" s="13" t="s">
        <v>9</v>
      </c>
    </row>
    <row r="793" spans="1:8" ht="15.75" customHeight="1" x14ac:dyDescent="0.25">
      <c r="A793" s="13">
        <v>518767</v>
      </c>
      <c r="B793" s="13">
        <v>21870</v>
      </c>
      <c r="C793" s="13" t="s">
        <v>192</v>
      </c>
      <c r="D793" s="13">
        <v>12</v>
      </c>
      <c r="E793" s="14">
        <v>40401.618055555547</v>
      </c>
      <c r="F793" s="13">
        <v>1.25</v>
      </c>
      <c r="G793" s="13">
        <v>17469</v>
      </c>
      <c r="H793" s="13" t="s">
        <v>9</v>
      </c>
    </row>
    <row r="794" spans="1:8" ht="15.75" customHeight="1" x14ac:dyDescent="0.25">
      <c r="A794" s="13">
        <v>517487</v>
      </c>
      <c r="B794" s="13">
        <v>22332</v>
      </c>
      <c r="C794" s="13" t="s">
        <v>814</v>
      </c>
      <c r="D794" s="13">
        <v>3</v>
      </c>
      <c r="E794" s="14">
        <v>40388.523611111108</v>
      </c>
      <c r="F794" s="13">
        <v>1.65</v>
      </c>
      <c r="G794" s="13">
        <v>16779</v>
      </c>
      <c r="H794" s="13" t="s">
        <v>9</v>
      </c>
    </row>
    <row r="795" spans="1:8" ht="15.75" customHeight="1" x14ac:dyDescent="0.25">
      <c r="A795" s="13">
        <v>527819</v>
      </c>
      <c r="B795" s="13">
        <v>22147</v>
      </c>
      <c r="C795" s="13" t="s">
        <v>387</v>
      </c>
      <c r="D795" s="13">
        <v>1</v>
      </c>
      <c r="E795" s="14">
        <v>40470.473611111112</v>
      </c>
      <c r="F795" s="13">
        <v>1.45</v>
      </c>
      <c r="G795" s="13">
        <v>16515</v>
      </c>
      <c r="H795" s="13" t="s">
        <v>9</v>
      </c>
    </row>
    <row r="796" spans="1:8" ht="15.75" customHeight="1" x14ac:dyDescent="0.25">
      <c r="A796" s="13">
        <v>521970</v>
      </c>
      <c r="B796" s="13">
        <v>20906</v>
      </c>
      <c r="C796" s="13" t="s">
        <v>815</v>
      </c>
      <c r="D796" s="13">
        <v>1</v>
      </c>
      <c r="E796" s="14">
        <v>40430.807638888888</v>
      </c>
      <c r="F796"/>
      <c r="G796" s="13">
        <v>17282</v>
      </c>
      <c r="H796" s="13" t="s">
        <v>9</v>
      </c>
    </row>
    <row r="797" spans="1:8" ht="15.75" customHeight="1" x14ac:dyDescent="0.25">
      <c r="A797" s="13">
        <v>524421</v>
      </c>
      <c r="B797" s="13">
        <v>21445</v>
      </c>
      <c r="C797" s="13" t="s">
        <v>490</v>
      </c>
      <c r="D797" s="13">
        <v>12</v>
      </c>
      <c r="E797" s="14">
        <v>40450.43472222222</v>
      </c>
      <c r="F797" s="13">
        <v>1.25</v>
      </c>
      <c r="G797" s="13">
        <v>13804</v>
      </c>
      <c r="H797" s="13" t="s">
        <v>9</v>
      </c>
    </row>
    <row r="798" spans="1:8" ht="15.75" customHeight="1" x14ac:dyDescent="0.25">
      <c r="A798" s="13">
        <v>505615</v>
      </c>
      <c r="B798" s="13">
        <v>22328</v>
      </c>
      <c r="C798" s="13" t="s">
        <v>91</v>
      </c>
      <c r="D798" s="13" t="s">
        <v>330</v>
      </c>
      <c r="E798" s="14">
        <v>40291.53402777778</v>
      </c>
      <c r="F798" s="13">
        <v>2.95</v>
      </c>
      <c r="G798" s="13">
        <v>15288</v>
      </c>
      <c r="H798" s="13" t="s">
        <v>9</v>
      </c>
    </row>
    <row r="799" spans="1:8" ht="15.75" customHeight="1" x14ac:dyDescent="0.25">
      <c r="A799" s="13">
        <v>534720</v>
      </c>
      <c r="B799" s="13">
        <v>22777</v>
      </c>
      <c r="C799" s="13" t="s">
        <v>816</v>
      </c>
      <c r="D799" s="13">
        <v>2</v>
      </c>
      <c r="E799" s="14">
        <v>40505.745138888888</v>
      </c>
      <c r="F799" s="13">
        <v>8.5</v>
      </c>
      <c r="G799" s="13">
        <v>14154</v>
      </c>
      <c r="H799" s="13" t="s">
        <v>9</v>
      </c>
    </row>
    <row r="800" spans="1:8" ht="15.75" customHeight="1" x14ac:dyDescent="0.25">
      <c r="A800" s="13">
        <v>533551</v>
      </c>
      <c r="B800" s="13">
        <v>85048</v>
      </c>
      <c r="C800" s="13" t="s">
        <v>817</v>
      </c>
      <c r="D800" s="13">
        <v>1</v>
      </c>
      <c r="E800" s="14">
        <v>40499.713888888888</v>
      </c>
      <c r="F800" s="13">
        <v>7.95</v>
      </c>
      <c r="G800" s="13">
        <v>17576</v>
      </c>
      <c r="H800" s="13" t="s">
        <v>9</v>
      </c>
    </row>
    <row r="801" spans="1:8" ht="15.75" customHeight="1" x14ac:dyDescent="0.25">
      <c r="A801" s="13">
        <v>503361</v>
      </c>
      <c r="B801" s="13">
        <v>22063</v>
      </c>
      <c r="C801" s="13" t="s">
        <v>487</v>
      </c>
      <c r="D801" s="13">
        <v>6</v>
      </c>
      <c r="E801" s="14">
        <v>40268.585416666669</v>
      </c>
      <c r="F801" s="13">
        <v>2.95</v>
      </c>
      <c r="G801" s="13">
        <v>17049</v>
      </c>
      <c r="H801" s="13" t="s">
        <v>9</v>
      </c>
    </row>
    <row r="802" spans="1:8" ht="15.75" customHeight="1" x14ac:dyDescent="0.25">
      <c r="A802" s="13">
        <v>489866</v>
      </c>
      <c r="B802" s="13">
        <v>82482</v>
      </c>
      <c r="C802" s="13" t="s">
        <v>818</v>
      </c>
      <c r="D802" s="13">
        <v>3</v>
      </c>
      <c r="E802" s="14">
        <v>40149.62777777778</v>
      </c>
      <c r="F802" s="13">
        <v>2.5499999999999998</v>
      </c>
      <c r="G802" s="13">
        <v>16200</v>
      </c>
      <c r="H802" s="13" t="s">
        <v>9</v>
      </c>
    </row>
    <row r="803" spans="1:8" ht="15.75" customHeight="1" x14ac:dyDescent="0.25">
      <c r="A803" s="13">
        <v>497798</v>
      </c>
      <c r="B803" s="13" t="s">
        <v>819</v>
      </c>
      <c r="C803" s="13" t="s">
        <v>820</v>
      </c>
      <c r="D803" s="13">
        <v>3</v>
      </c>
      <c r="E803" s="14">
        <v>40221.556944444441</v>
      </c>
      <c r="F803" s="13">
        <v>5.45</v>
      </c>
      <c r="G803" s="13">
        <v>12695</v>
      </c>
      <c r="H803" s="13" t="s">
        <v>28</v>
      </c>
    </row>
    <row r="804" spans="1:8" ht="15.75" customHeight="1" x14ac:dyDescent="0.25">
      <c r="A804" s="13">
        <v>508117</v>
      </c>
      <c r="B804" s="13">
        <v>22109</v>
      </c>
      <c r="C804" s="13" t="s">
        <v>821</v>
      </c>
      <c r="D804" s="13">
        <v>8</v>
      </c>
      <c r="E804" s="14">
        <v>40311.448611111111</v>
      </c>
      <c r="F804" s="13">
        <v>3.75</v>
      </c>
      <c r="G804" s="13">
        <v>18197</v>
      </c>
      <c r="H804" s="13" t="s">
        <v>9</v>
      </c>
    </row>
    <row r="805" spans="1:8" ht="15.75" customHeight="1" x14ac:dyDescent="0.25">
      <c r="A805" s="13">
        <v>524879</v>
      </c>
      <c r="B805" s="13">
        <v>22608</v>
      </c>
      <c r="C805" s="13" t="s">
        <v>822</v>
      </c>
      <c r="D805" s="13">
        <v>36</v>
      </c>
      <c r="E805" s="14">
        <v>40452.447916666657</v>
      </c>
      <c r="F805" s="13">
        <v>0.85</v>
      </c>
      <c r="G805" s="13">
        <v>16101</v>
      </c>
      <c r="H805" s="13" t="s">
        <v>9</v>
      </c>
    </row>
    <row r="806" spans="1:8" ht="15.75" customHeight="1" x14ac:dyDescent="0.25">
      <c r="A806" s="13">
        <v>504157</v>
      </c>
      <c r="B806" s="13">
        <v>84773</v>
      </c>
      <c r="C806" s="13" t="s">
        <v>823</v>
      </c>
      <c r="D806" s="13">
        <v>1</v>
      </c>
      <c r="E806" s="14">
        <v>40279.648611111108</v>
      </c>
      <c r="F806" s="13">
        <v>2.95</v>
      </c>
      <c r="G806" s="13">
        <v>17221</v>
      </c>
      <c r="H806" s="13" t="s">
        <v>9</v>
      </c>
    </row>
    <row r="807" spans="1:8" ht="15.75" customHeight="1" x14ac:dyDescent="0.25">
      <c r="A807" s="13">
        <v>491497</v>
      </c>
      <c r="B807" s="13">
        <v>21175</v>
      </c>
      <c r="C807" s="13" t="s">
        <v>118</v>
      </c>
      <c r="D807" s="13">
        <v>48</v>
      </c>
      <c r="E807" s="14">
        <v>40158.511805555558</v>
      </c>
      <c r="F807" s="13">
        <v>1.85</v>
      </c>
      <c r="G807" s="13">
        <v>17409</v>
      </c>
      <c r="H807" s="13" t="s">
        <v>9</v>
      </c>
    </row>
    <row r="808" spans="1:8" ht="15.75" customHeight="1" x14ac:dyDescent="0.25">
      <c r="A808" s="13">
        <v>512827</v>
      </c>
      <c r="B808" s="13">
        <v>21931</v>
      </c>
      <c r="C808" s="13" t="s">
        <v>434</v>
      </c>
      <c r="D808" s="13">
        <v>20</v>
      </c>
      <c r="E808" s="14">
        <v>40347.481944444437</v>
      </c>
      <c r="F808" s="13">
        <v>1.95</v>
      </c>
      <c r="G808" s="13">
        <v>15981</v>
      </c>
      <c r="H808" s="13" t="s">
        <v>9</v>
      </c>
    </row>
    <row r="809" spans="1:8" ht="15.75" customHeight="1" x14ac:dyDescent="0.25">
      <c r="A809" s="13">
        <v>526746</v>
      </c>
      <c r="B809" s="13" t="s">
        <v>277</v>
      </c>
      <c r="C809" s="13" t="s">
        <v>278</v>
      </c>
      <c r="D809" s="13">
        <v>10</v>
      </c>
      <c r="E809" s="14">
        <v>40464.388888888891</v>
      </c>
      <c r="F809" s="13">
        <v>1.95</v>
      </c>
      <c r="G809" s="13">
        <v>13985</v>
      </c>
      <c r="H809" s="13" t="s">
        <v>9</v>
      </c>
    </row>
    <row r="810" spans="1:8" ht="15.75" customHeight="1" x14ac:dyDescent="0.25">
      <c r="A810" s="13">
        <v>502419</v>
      </c>
      <c r="B810" s="13">
        <v>84880</v>
      </c>
      <c r="C810" s="13" t="s">
        <v>824</v>
      </c>
      <c r="D810" s="13">
        <v>2</v>
      </c>
      <c r="E810" s="14">
        <v>40261.510416666657</v>
      </c>
      <c r="F810" s="13">
        <v>5.95</v>
      </c>
      <c r="G810" s="13">
        <v>16300</v>
      </c>
      <c r="H810" s="13" t="s">
        <v>9</v>
      </c>
    </row>
    <row r="811" spans="1:8" ht="15.75" customHeight="1" x14ac:dyDescent="0.25">
      <c r="A811" s="13">
        <v>534631</v>
      </c>
      <c r="B811" s="13">
        <v>22516</v>
      </c>
      <c r="C811" s="13" t="s">
        <v>825</v>
      </c>
      <c r="D811" s="13">
        <v>1</v>
      </c>
      <c r="E811" s="14">
        <v>40505.539583333331</v>
      </c>
      <c r="F811" s="13">
        <v>2.1</v>
      </c>
      <c r="G811" s="13">
        <v>18047</v>
      </c>
      <c r="H811" s="13" t="s">
        <v>9</v>
      </c>
    </row>
    <row r="812" spans="1:8" ht="15.75" customHeight="1" x14ac:dyDescent="0.25">
      <c r="A812" s="13">
        <v>489866</v>
      </c>
      <c r="B812" s="13">
        <v>85151</v>
      </c>
      <c r="C812" s="13" t="s">
        <v>826</v>
      </c>
      <c r="D812" s="13">
        <v>5</v>
      </c>
      <c r="E812" s="14">
        <v>40149.62777777778</v>
      </c>
      <c r="F812" s="13">
        <v>1.25</v>
      </c>
      <c r="G812" s="13">
        <v>16200</v>
      </c>
      <c r="H812" s="13" t="s">
        <v>481</v>
      </c>
    </row>
    <row r="813" spans="1:8" ht="15.75" customHeight="1" x14ac:dyDescent="0.25">
      <c r="A813" s="13">
        <v>529850</v>
      </c>
      <c r="B813" s="13">
        <v>21827</v>
      </c>
      <c r="C813" s="13" t="s">
        <v>827</v>
      </c>
      <c r="D813" s="13">
        <v>3</v>
      </c>
      <c r="E813" s="14">
        <v>40482.565972222219</v>
      </c>
      <c r="F813" s="13">
        <v>1.25</v>
      </c>
      <c r="G813" s="13">
        <v>16788</v>
      </c>
      <c r="H813" s="13" t="s">
        <v>9</v>
      </c>
    </row>
    <row r="814" spans="1:8" ht="15.75" customHeight="1" x14ac:dyDescent="0.25">
      <c r="A814" s="13">
        <v>490669</v>
      </c>
      <c r="B814" s="13" t="s">
        <v>482</v>
      </c>
      <c r="C814" s="13" t="s">
        <v>483</v>
      </c>
      <c r="D814" s="13">
        <v>2</v>
      </c>
      <c r="E814" s="14">
        <v>40154.529166666667</v>
      </c>
      <c r="F814" s="13">
        <v>3.75</v>
      </c>
      <c r="G814" s="13">
        <v>15716</v>
      </c>
      <c r="H814" s="13" t="s">
        <v>9</v>
      </c>
    </row>
    <row r="815" spans="1:8" ht="15.75" customHeight="1" x14ac:dyDescent="0.25">
      <c r="A815" s="13">
        <v>507838</v>
      </c>
      <c r="B815" s="13">
        <v>20983</v>
      </c>
      <c r="C815" s="13" t="s">
        <v>828</v>
      </c>
      <c r="D815"/>
      <c r="E815" s="14">
        <v>40309.5625</v>
      </c>
      <c r="F815" s="13">
        <v>0.85</v>
      </c>
      <c r="G815" s="13">
        <v>15034</v>
      </c>
      <c r="H815" s="13" t="s">
        <v>9</v>
      </c>
    </row>
    <row r="816" spans="1:8" ht="15.75" customHeight="1" x14ac:dyDescent="0.25">
      <c r="A816" s="13" t="s">
        <v>829</v>
      </c>
      <c r="B816" s="13">
        <v>85141</v>
      </c>
      <c r="C816" s="13" t="s">
        <v>767</v>
      </c>
      <c r="D816" s="13">
        <v>-1</v>
      </c>
      <c r="E816" s="14">
        <v>40449.775694444441</v>
      </c>
      <c r="F816" s="13">
        <v>10.75</v>
      </c>
      <c r="G816" s="13">
        <v>13980</v>
      </c>
      <c r="H816" s="13" t="s">
        <v>9</v>
      </c>
    </row>
    <row r="817" spans="1:8" ht="15.75" customHeight="1" x14ac:dyDescent="0.25">
      <c r="A817" s="13">
        <v>526201</v>
      </c>
      <c r="B817" s="13" t="s">
        <v>830</v>
      </c>
      <c r="C817" s="13" t="s">
        <v>831</v>
      </c>
      <c r="D817" s="13">
        <v>6</v>
      </c>
      <c r="E817" s="14">
        <v>40461.54583333333</v>
      </c>
      <c r="F817" s="13">
        <v>3.75</v>
      </c>
      <c r="G817" s="13">
        <v>14820</v>
      </c>
      <c r="H817" s="13" t="s">
        <v>9</v>
      </c>
    </row>
    <row r="818" spans="1:8" ht="15.75" customHeight="1" x14ac:dyDescent="0.25">
      <c r="A818" s="13">
        <v>534512</v>
      </c>
      <c r="B818" s="13">
        <v>84678</v>
      </c>
      <c r="C818" s="13" t="s">
        <v>832</v>
      </c>
      <c r="D818" s="13">
        <v>6</v>
      </c>
      <c r="E818" s="14">
        <v>40505.493750000001</v>
      </c>
      <c r="F818" s="13">
        <v>2.5499999999999998</v>
      </c>
      <c r="G818" s="13">
        <v>14679</v>
      </c>
      <c r="H818" s="13" t="s">
        <v>9</v>
      </c>
    </row>
    <row r="819" spans="1:8" ht="15.75" customHeight="1" x14ac:dyDescent="0.25">
      <c r="A819" s="13">
        <v>521406</v>
      </c>
      <c r="B819" s="13">
        <v>22379</v>
      </c>
      <c r="C819" s="13" t="s">
        <v>168</v>
      </c>
      <c r="D819" s="13">
        <v>25</v>
      </c>
      <c r="E819" s="14">
        <v>40427.445833333331</v>
      </c>
      <c r="F819" s="13">
        <v>2.1</v>
      </c>
      <c r="G819" s="13">
        <v>13093</v>
      </c>
      <c r="H819" s="13" t="s">
        <v>9</v>
      </c>
    </row>
    <row r="820" spans="1:8" ht="15.75" customHeight="1" x14ac:dyDescent="0.25">
      <c r="A820" s="13">
        <v>507398</v>
      </c>
      <c r="B820" s="13">
        <v>22507</v>
      </c>
      <c r="C820" s="13" t="s">
        <v>833</v>
      </c>
      <c r="D820" s="13">
        <v>2</v>
      </c>
      <c r="E820" s="14">
        <v>40307.552083333343</v>
      </c>
      <c r="F820" s="13">
        <v>4.95</v>
      </c>
      <c r="G820" s="13">
        <v>17913</v>
      </c>
      <c r="H820" s="13" t="s">
        <v>9</v>
      </c>
    </row>
    <row r="821" spans="1:8" ht="15.75" customHeight="1" x14ac:dyDescent="0.25">
      <c r="A821" s="13">
        <v>496427</v>
      </c>
      <c r="B821" s="13">
        <v>21746</v>
      </c>
      <c r="C821" s="13" t="s">
        <v>834</v>
      </c>
      <c r="D821" s="13">
        <v>3</v>
      </c>
      <c r="E821" s="14">
        <v>40210.509027777778</v>
      </c>
      <c r="F821" s="13">
        <v>1.25</v>
      </c>
      <c r="G821" s="13">
        <v>17841</v>
      </c>
      <c r="H821" s="13" t="s">
        <v>9</v>
      </c>
    </row>
    <row r="822" spans="1:8" ht="15.75" customHeight="1" x14ac:dyDescent="0.25">
      <c r="A822" s="13">
        <v>530014</v>
      </c>
      <c r="B822" s="13">
        <v>20676</v>
      </c>
      <c r="C822" s="13" t="s">
        <v>835</v>
      </c>
      <c r="D822" s="13">
        <v>4</v>
      </c>
      <c r="E822" s="14">
        <v>40483.442361111112</v>
      </c>
      <c r="F822" s="13">
        <v>1.25</v>
      </c>
      <c r="G822" s="13" t="s">
        <v>836</v>
      </c>
      <c r="H822" s="13" t="s">
        <v>9</v>
      </c>
    </row>
    <row r="823" spans="1:8" ht="15.75" customHeight="1" x14ac:dyDescent="0.25">
      <c r="A823" s="13">
        <v>511357</v>
      </c>
      <c r="B823" s="13">
        <v>21669</v>
      </c>
      <c r="C823" s="13" t="s">
        <v>733</v>
      </c>
      <c r="D823" s="13">
        <v>12</v>
      </c>
      <c r="E823" s="14">
        <v>40337.457638888889</v>
      </c>
      <c r="F823" s="13">
        <v>1.25</v>
      </c>
      <c r="G823" s="13">
        <v>17849</v>
      </c>
      <c r="H823" s="13" t="s">
        <v>9</v>
      </c>
    </row>
    <row r="824" spans="1:8" ht="15.75" customHeight="1" x14ac:dyDescent="0.25">
      <c r="A824" s="13" t="s">
        <v>837</v>
      </c>
      <c r="B824" s="13">
        <v>22667</v>
      </c>
      <c r="C824" s="13" t="s">
        <v>838</v>
      </c>
      <c r="D824" s="13">
        <v>-2</v>
      </c>
      <c r="E824" s="14">
        <v>40476.556250000001</v>
      </c>
      <c r="F824" s="13">
        <v>2.95</v>
      </c>
      <c r="G824" s="13">
        <v>13502</v>
      </c>
      <c r="H824" s="13" t="s">
        <v>9</v>
      </c>
    </row>
    <row r="825" spans="1:8" ht="15.75" customHeight="1" x14ac:dyDescent="0.25">
      <c r="A825" s="13">
        <v>505847</v>
      </c>
      <c r="B825" s="13">
        <v>47505</v>
      </c>
      <c r="C825" s="13" t="s">
        <v>839</v>
      </c>
      <c r="D825" s="13">
        <v>3</v>
      </c>
      <c r="E825" s="14">
        <v>40294.507638888892</v>
      </c>
      <c r="F825" s="13">
        <v>4.95</v>
      </c>
      <c r="G825" s="13">
        <v>14710</v>
      </c>
      <c r="H825" s="13" t="s">
        <v>9</v>
      </c>
    </row>
    <row r="826" spans="1:8" ht="15.75" customHeight="1" x14ac:dyDescent="0.25">
      <c r="A826" s="13">
        <v>518902</v>
      </c>
      <c r="B826" s="13">
        <v>22591</v>
      </c>
      <c r="C826" s="13" t="s">
        <v>840</v>
      </c>
      <c r="D826" s="13">
        <v>4</v>
      </c>
      <c r="E826" s="14">
        <v>40402.59375</v>
      </c>
      <c r="F826" s="13">
        <v>2.5499999999999998</v>
      </c>
      <c r="G826" s="13">
        <v>14461</v>
      </c>
      <c r="H826" s="13" t="s">
        <v>9</v>
      </c>
    </row>
    <row r="827" spans="1:8" ht="15.75" customHeight="1" x14ac:dyDescent="0.25">
      <c r="A827" s="13">
        <v>532725</v>
      </c>
      <c r="B827" s="13">
        <v>22121</v>
      </c>
      <c r="C827" s="13" t="s">
        <v>841</v>
      </c>
      <c r="D827" s="13">
        <v>2</v>
      </c>
      <c r="E827" s="14">
        <v>40496.540972222218</v>
      </c>
      <c r="F827" s="13">
        <v>5.95</v>
      </c>
      <c r="G827" s="13">
        <v>16983</v>
      </c>
      <c r="H827" s="13" t="s">
        <v>9</v>
      </c>
    </row>
    <row r="828" spans="1:8" ht="15.75" customHeight="1" x14ac:dyDescent="0.25">
      <c r="A828" s="13">
        <v>515115</v>
      </c>
      <c r="B828" s="13">
        <v>21936</v>
      </c>
      <c r="C828" s="13" t="s">
        <v>842</v>
      </c>
      <c r="D828" s="13">
        <v>1</v>
      </c>
      <c r="E828" s="14">
        <v>40367.546527777777</v>
      </c>
      <c r="F828" s="13">
        <v>2.95</v>
      </c>
      <c r="G828" s="13">
        <v>16383</v>
      </c>
      <c r="H828" s="13" t="s">
        <v>9</v>
      </c>
    </row>
    <row r="829" spans="1:8" ht="15.75" customHeight="1" x14ac:dyDescent="0.25">
      <c r="A829" s="13">
        <v>497732</v>
      </c>
      <c r="B829" s="13" t="s">
        <v>843</v>
      </c>
      <c r="C829" s="13" t="s">
        <v>844</v>
      </c>
      <c r="D829" s="13">
        <v>4</v>
      </c>
      <c r="E829" s="14">
        <v>40220.775000000001</v>
      </c>
      <c r="F829" s="13">
        <v>1.25</v>
      </c>
      <c r="G829" s="13">
        <v>13291</v>
      </c>
      <c r="H829" s="13" t="s">
        <v>9</v>
      </c>
    </row>
    <row r="830" spans="1:8" ht="15.75" customHeight="1" x14ac:dyDescent="0.25">
      <c r="A830" s="13">
        <v>506285</v>
      </c>
      <c r="B830" s="13">
        <v>21651</v>
      </c>
      <c r="C830" s="13" t="s">
        <v>73</v>
      </c>
      <c r="D830" s="13">
        <v>6</v>
      </c>
      <c r="E830" s="14">
        <v>40296.700694444437</v>
      </c>
      <c r="F830" s="13">
        <v>1.65</v>
      </c>
      <c r="G830" s="13">
        <v>16767</v>
      </c>
      <c r="H830" s="13" t="s">
        <v>9</v>
      </c>
    </row>
    <row r="831" spans="1:8" ht="15.75" customHeight="1" x14ac:dyDescent="0.25">
      <c r="A831" s="13">
        <v>536618</v>
      </c>
      <c r="B831" s="13">
        <v>22943</v>
      </c>
      <c r="C831" s="13" t="s">
        <v>845</v>
      </c>
      <c r="D831" s="13" t="s">
        <v>342</v>
      </c>
      <c r="E831" s="14">
        <v>40514.428472222222</v>
      </c>
      <c r="F831" s="13">
        <v>4.25</v>
      </c>
      <c r="G831" s="13">
        <v>17017</v>
      </c>
      <c r="H831" s="13" t="s">
        <v>9</v>
      </c>
    </row>
    <row r="832" spans="1:8" ht="15.75" customHeight="1" x14ac:dyDescent="0.25">
      <c r="A832" s="13">
        <v>538056</v>
      </c>
      <c r="B832" s="13" t="s">
        <v>846</v>
      </c>
      <c r="C832" s="13" t="s">
        <v>847</v>
      </c>
      <c r="D832" s="13">
        <v>4</v>
      </c>
      <c r="E832" s="14">
        <v>40521.56527777778</v>
      </c>
      <c r="F832" s="13">
        <v>8.9499999999999993</v>
      </c>
      <c r="G832" s="13">
        <v>17198</v>
      </c>
      <c r="H832" s="13" t="s">
        <v>9</v>
      </c>
    </row>
    <row r="833" spans="1:8" ht="15.75" customHeight="1" x14ac:dyDescent="0.25">
      <c r="A833" s="13">
        <v>523586</v>
      </c>
      <c r="B833" s="13">
        <v>22470</v>
      </c>
      <c r="C833" s="13" t="s">
        <v>164</v>
      </c>
      <c r="D833" s="13">
        <v>40</v>
      </c>
      <c r="E833" s="14">
        <v>40444.370833333327</v>
      </c>
      <c r="F833" s="13">
        <v>2.5499999999999998</v>
      </c>
      <c r="G833" s="13">
        <v>14648</v>
      </c>
      <c r="H833" s="13" t="s">
        <v>9</v>
      </c>
    </row>
    <row r="834" spans="1:8" ht="15.75" customHeight="1" x14ac:dyDescent="0.25">
      <c r="A834" s="13">
        <v>534232</v>
      </c>
      <c r="B834" s="13">
        <v>84879</v>
      </c>
      <c r="C834" s="13" t="s">
        <v>143</v>
      </c>
      <c r="D834" s="13">
        <v>16</v>
      </c>
      <c r="E834" s="14">
        <v>40504.418749999997</v>
      </c>
      <c r="F834" s="13">
        <v>1.69</v>
      </c>
      <c r="G834" s="13">
        <v>17782</v>
      </c>
      <c r="H834" s="13" t="s">
        <v>9</v>
      </c>
    </row>
    <row r="835" spans="1:8" ht="15.75" customHeight="1" x14ac:dyDescent="0.25">
      <c r="A835" s="13">
        <v>531566</v>
      </c>
      <c r="B835" s="13">
        <v>84879</v>
      </c>
      <c r="C835" s="13" t="s">
        <v>143</v>
      </c>
      <c r="D835" s="13">
        <v>24</v>
      </c>
      <c r="E835" s="13" t="s">
        <v>848</v>
      </c>
      <c r="F835" s="13">
        <v>1.69</v>
      </c>
      <c r="G835" s="13">
        <v>14902</v>
      </c>
      <c r="H835" s="13" t="s">
        <v>9</v>
      </c>
    </row>
    <row r="836" spans="1:8" ht="15.75" customHeight="1" x14ac:dyDescent="0.25">
      <c r="A836" s="13">
        <v>520505</v>
      </c>
      <c r="B836" s="13">
        <v>21258</v>
      </c>
      <c r="C836" s="13" t="s">
        <v>49</v>
      </c>
      <c r="D836" s="13">
        <v>1</v>
      </c>
      <c r="E836" s="14">
        <v>40416.535416666673</v>
      </c>
      <c r="F836" s="13">
        <v>12.75</v>
      </c>
      <c r="G836" s="13">
        <v>17663</v>
      </c>
      <c r="H836" s="13" t="s">
        <v>9</v>
      </c>
    </row>
    <row r="837" spans="1:8" ht="15.75" customHeight="1" x14ac:dyDescent="0.25">
      <c r="A837" s="13">
        <v>513768</v>
      </c>
      <c r="B837" s="13">
        <v>22606</v>
      </c>
      <c r="C837" s="13" t="s">
        <v>849</v>
      </c>
      <c r="D837" s="13">
        <v>4</v>
      </c>
      <c r="E837" s="14">
        <v>40357.571527777778</v>
      </c>
      <c r="F837" s="13">
        <v>12.75</v>
      </c>
      <c r="G837" s="13">
        <v>17667</v>
      </c>
      <c r="H837" s="13" t="s">
        <v>9</v>
      </c>
    </row>
    <row r="838" spans="1:8" ht="15.75" customHeight="1" x14ac:dyDescent="0.25">
      <c r="A838" s="13">
        <v>523309</v>
      </c>
      <c r="B838" s="13">
        <v>20712</v>
      </c>
      <c r="C838" s="13" t="s">
        <v>67</v>
      </c>
      <c r="D838" s="13">
        <v>10</v>
      </c>
      <c r="E838" s="14">
        <v>40442.547222222223</v>
      </c>
      <c r="F838" s="13">
        <v>1.95</v>
      </c>
      <c r="G838" s="13">
        <v>14156</v>
      </c>
      <c r="H838" s="13" t="s">
        <v>850</v>
      </c>
    </row>
    <row r="839" spans="1:8" ht="15.75" customHeight="1" x14ac:dyDescent="0.25">
      <c r="A839" s="13">
        <v>519602</v>
      </c>
      <c r="B839" s="13" t="s">
        <v>153</v>
      </c>
      <c r="C839" s="13" t="s">
        <v>154</v>
      </c>
      <c r="D839" s="13">
        <v>6</v>
      </c>
      <c r="E839" s="14">
        <v>40408.666666666657</v>
      </c>
      <c r="F839" s="13">
        <v>2.95</v>
      </c>
      <c r="G839" s="13">
        <v>18226</v>
      </c>
      <c r="H839" s="13" t="s">
        <v>9</v>
      </c>
    </row>
    <row r="840" spans="1:8" ht="15.75" customHeight="1" x14ac:dyDescent="0.25">
      <c r="A840" s="13">
        <v>524207</v>
      </c>
      <c r="B840" s="13">
        <v>20702</v>
      </c>
      <c r="C840" s="13" t="s">
        <v>525</v>
      </c>
      <c r="D840" s="13">
        <v>6</v>
      </c>
      <c r="E840" s="14">
        <v>40449.440972222219</v>
      </c>
      <c r="F840" s="13">
        <v>4.25</v>
      </c>
      <c r="G840" s="13">
        <v>12648</v>
      </c>
      <c r="H840" s="13" t="s">
        <v>17</v>
      </c>
    </row>
    <row r="841" spans="1:8" ht="15.75" customHeight="1" x14ac:dyDescent="0.25">
      <c r="A841" s="13">
        <v>516111</v>
      </c>
      <c r="B841" s="13">
        <v>48187</v>
      </c>
      <c r="C841" s="13" t="s">
        <v>851</v>
      </c>
      <c r="D841" s="13">
        <v>2</v>
      </c>
      <c r="E841" s="14">
        <v>40375.556250000001</v>
      </c>
      <c r="F841" s="13">
        <v>7.49</v>
      </c>
      <c r="G841" s="13">
        <v>13728</v>
      </c>
      <c r="H841" s="13" t="s">
        <v>9</v>
      </c>
    </row>
    <row r="842" spans="1:8" ht="15.75" customHeight="1" x14ac:dyDescent="0.25">
      <c r="A842" s="13">
        <v>534091</v>
      </c>
      <c r="B842" s="13">
        <v>22945</v>
      </c>
      <c r="C842" s="13" t="s">
        <v>852</v>
      </c>
      <c r="D842" s="13">
        <v>18</v>
      </c>
      <c r="E842" s="14">
        <v>40503.498611111107</v>
      </c>
      <c r="F842" s="13">
        <v>0.85</v>
      </c>
      <c r="G842" s="13">
        <v>14499</v>
      </c>
      <c r="H842" s="13" t="s">
        <v>9</v>
      </c>
    </row>
    <row r="843" spans="1:8" ht="15.75" customHeight="1" x14ac:dyDescent="0.25">
      <c r="A843" s="13">
        <v>519404</v>
      </c>
      <c r="B843" s="13">
        <v>22557</v>
      </c>
      <c r="C843" s="13" t="s">
        <v>853</v>
      </c>
      <c r="D843" s="13">
        <v>96</v>
      </c>
      <c r="E843" s="14">
        <v>40407.37222222222</v>
      </c>
      <c r="F843" s="13">
        <v>1.45</v>
      </c>
      <c r="G843" s="13">
        <v>14646</v>
      </c>
      <c r="H843" s="13" t="s">
        <v>116</v>
      </c>
    </row>
    <row r="844" spans="1:8" ht="15.75" customHeight="1" x14ac:dyDescent="0.25">
      <c r="A844" s="13">
        <v>532993</v>
      </c>
      <c r="B844" s="13">
        <v>16235</v>
      </c>
      <c r="C844" s="13" t="s">
        <v>854</v>
      </c>
      <c r="D844" s="13">
        <v>60</v>
      </c>
      <c r="E844" s="14">
        <v>40497.601388888892</v>
      </c>
      <c r="F844" s="13">
        <v>0.21</v>
      </c>
      <c r="G844" s="13">
        <v>14156</v>
      </c>
      <c r="H844" s="13" t="s">
        <v>11</v>
      </c>
    </row>
    <row r="845" spans="1:8" ht="15.75" customHeight="1" x14ac:dyDescent="0.25">
      <c r="A845" s="13">
        <v>525068</v>
      </c>
      <c r="B845" s="13">
        <v>35965</v>
      </c>
      <c r="C845" s="13" t="s">
        <v>855</v>
      </c>
      <c r="D845" s="13">
        <v>6</v>
      </c>
      <c r="E845" s="14">
        <v>40454.609027777777</v>
      </c>
      <c r="F845" s="13">
        <v>2.95</v>
      </c>
      <c r="G845" s="13">
        <v>15579</v>
      </c>
      <c r="H845" s="13" t="s">
        <v>9</v>
      </c>
    </row>
    <row r="846" spans="1:8" ht="15.75" customHeight="1" x14ac:dyDescent="0.25">
      <c r="A846" s="13">
        <v>490707</v>
      </c>
      <c r="B846" s="13">
        <v>21875</v>
      </c>
      <c r="C846" s="13" t="s">
        <v>620</v>
      </c>
      <c r="D846" s="13">
        <v>1</v>
      </c>
      <c r="E846" s="14">
        <v>40154.626388888893</v>
      </c>
      <c r="F846" s="13">
        <v>1.25</v>
      </c>
      <c r="G846" s="13">
        <v>17865</v>
      </c>
      <c r="H846" s="13" t="s">
        <v>9</v>
      </c>
    </row>
    <row r="847" spans="1:8" ht="15.75" customHeight="1" x14ac:dyDescent="0.25">
      <c r="A847" s="13">
        <v>505499</v>
      </c>
      <c r="B847" s="13">
        <v>21429</v>
      </c>
      <c r="C847" s="13" t="s">
        <v>856</v>
      </c>
      <c r="D847" s="13">
        <v>8</v>
      </c>
      <c r="E847" s="14">
        <v>40290.566666666673</v>
      </c>
      <c r="F847" s="13">
        <v>1.65</v>
      </c>
      <c r="G847" s="13">
        <v>16862</v>
      </c>
      <c r="H847" s="13" t="s">
        <v>9</v>
      </c>
    </row>
    <row r="848" spans="1:8" ht="15.75" customHeight="1" x14ac:dyDescent="0.25">
      <c r="A848" s="13">
        <v>512426</v>
      </c>
      <c r="B848" s="13">
        <v>22469</v>
      </c>
      <c r="C848" s="13" t="s">
        <v>663</v>
      </c>
      <c r="D848" s="13">
        <v>4</v>
      </c>
      <c r="E848" s="14">
        <v>40344.625</v>
      </c>
      <c r="F848" s="13">
        <v>1.65</v>
      </c>
      <c r="G848" s="13">
        <v>13168</v>
      </c>
      <c r="H848" s="13" t="s">
        <v>9</v>
      </c>
    </row>
    <row r="849" spans="1:8" ht="15.75" customHeight="1" x14ac:dyDescent="0.25">
      <c r="A849" s="13">
        <v>532821</v>
      </c>
      <c r="B849" s="13">
        <v>22441</v>
      </c>
      <c r="C849" s="13" t="s">
        <v>255</v>
      </c>
      <c r="D849" s="13">
        <v>5</v>
      </c>
      <c r="E849" s="14">
        <v>40496.688888888893</v>
      </c>
      <c r="F849" s="13">
        <v>2.1</v>
      </c>
      <c r="G849" s="13">
        <v>14382</v>
      </c>
      <c r="H849" s="13" t="s">
        <v>9</v>
      </c>
    </row>
    <row r="850" spans="1:8" ht="15.75" customHeight="1" x14ac:dyDescent="0.25">
      <c r="A850" s="13">
        <v>511501</v>
      </c>
      <c r="B850" s="13">
        <v>21109</v>
      </c>
      <c r="C850" s="13" t="s">
        <v>583</v>
      </c>
      <c r="D850" s="13">
        <v>1</v>
      </c>
      <c r="E850" s="14">
        <v>40337.619444444441</v>
      </c>
      <c r="F850" s="13">
        <v>6.75</v>
      </c>
      <c r="G850" s="13">
        <v>15532</v>
      </c>
      <c r="H850" s="13" t="s">
        <v>9</v>
      </c>
    </row>
    <row r="851" spans="1:8" ht="15.75" customHeight="1" x14ac:dyDescent="0.25">
      <c r="A851" s="13">
        <v>500347</v>
      </c>
      <c r="B851" s="13">
        <v>21788</v>
      </c>
      <c r="C851" s="13" t="s">
        <v>857</v>
      </c>
      <c r="D851" s="13">
        <v>24</v>
      </c>
      <c r="E851" s="14">
        <v>40244.619444444441</v>
      </c>
      <c r="F851" s="13">
        <v>0.85</v>
      </c>
      <c r="G851" s="13">
        <v>15631</v>
      </c>
      <c r="H851" s="13" t="s">
        <v>9</v>
      </c>
    </row>
    <row r="852" spans="1:8" ht="15.75" customHeight="1" x14ac:dyDescent="0.25">
      <c r="A852" s="13">
        <v>528737</v>
      </c>
      <c r="B852" s="13">
        <v>82600</v>
      </c>
      <c r="C852" s="13" t="s">
        <v>268</v>
      </c>
      <c r="D852" s="13">
        <v>12</v>
      </c>
      <c r="E852" s="14">
        <v>40475.587500000001</v>
      </c>
      <c r="F852" s="13">
        <v>2.1</v>
      </c>
      <c r="G852" s="13">
        <v>18065</v>
      </c>
      <c r="H852" s="13" t="s">
        <v>9</v>
      </c>
    </row>
    <row r="853" spans="1:8" ht="15.75" customHeight="1" x14ac:dyDescent="0.25">
      <c r="A853" s="13">
        <v>517106</v>
      </c>
      <c r="B853" s="13">
        <v>22493</v>
      </c>
      <c r="C853" s="13" t="s">
        <v>858</v>
      </c>
      <c r="D853" s="13">
        <v>5</v>
      </c>
      <c r="E853" s="14">
        <v>40385.636805555558</v>
      </c>
      <c r="F853" s="13">
        <v>1.65</v>
      </c>
      <c r="G853" s="13">
        <v>12867</v>
      </c>
      <c r="H853" s="13" t="s">
        <v>9</v>
      </c>
    </row>
    <row r="854" spans="1:8" ht="15.75" customHeight="1" x14ac:dyDescent="0.25">
      <c r="A854" s="13">
        <v>531806</v>
      </c>
      <c r="B854" s="13">
        <v>22904</v>
      </c>
      <c r="C854" s="13" t="s">
        <v>216</v>
      </c>
      <c r="D854" s="13">
        <v>3</v>
      </c>
      <c r="E854" s="14">
        <v>40491.673611111109</v>
      </c>
      <c r="F854" s="13">
        <v>2.95</v>
      </c>
      <c r="G854" s="13">
        <v>17757</v>
      </c>
      <c r="H854" s="13" t="s">
        <v>9</v>
      </c>
    </row>
    <row r="855" spans="1:8" ht="15.75" customHeight="1" x14ac:dyDescent="0.25">
      <c r="A855" s="13">
        <v>524099</v>
      </c>
      <c r="B855" s="13">
        <v>22312</v>
      </c>
      <c r="C855" s="13" t="s">
        <v>529</v>
      </c>
      <c r="D855" s="13">
        <v>3</v>
      </c>
      <c r="E855" s="14">
        <v>40448.51666666667</v>
      </c>
      <c r="F855" s="13">
        <v>2.95</v>
      </c>
      <c r="G855" s="13">
        <v>13448</v>
      </c>
      <c r="H855" s="13" t="s">
        <v>9</v>
      </c>
    </row>
    <row r="856" spans="1:8" ht="15.75" customHeight="1" x14ac:dyDescent="0.25">
      <c r="A856" s="13">
        <v>537050</v>
      </c>
      <c r="B856" s="13">
        <v>22551</v>
      </c>
      <c r="C856" s="13" t="s">
        <v>69</v>
      </c>
      <c r="D856" s="13">
        <v>2</v>
      </c>
      <c r="E856" s="14">
        <v>40517.465277777781</v>
      </c>
      <c r="F856" s="13">
        <v>1.65</v>
      </c>
      <c r="G856" s="13">
        <v>14800</v>
      </c>
      <c r="H856" s="13" t="s">
        <v>9</v>
      </c>
    </row>
    <row r="857" spans="1:8" ht="15.75" customHeight="1" x14ac:dyDescent="0.25">
      <c r="A857" s="13">
        <v>531439</v>
      </c>
      <c r="B857" s="13" t="s">
        <v>232</v>
      </c>
      <c r="C857" s="13" t="s">
        <v>233</v>
      </c>
      <c r="D857" s="13">
        <v>6</v>
      </c>
      <c r="E857" s="14">
        <v>40490.515277777777</v>
      </c>
      <c r="F857" s="13">
        <v>2.95</v>
      </c>
      <c r="G857" s="13" t="s">
        <v>859</v>
      </c>
      <c r="H857" s="13" t="s">
        <v>9</v>
      </c>
    </row>
    <row r="858" spans="1:8" ht="15.75" customHeight="1" x14ac:dyDescent="0.25">
      <c r="A858" s="13">
        <v>502764</v>
      </c>
      <c r="B858" s="13">
        <v>21284</v>
      </c>
      <c r="C858" s="13" t="s">
        <v>860</v>
      </c>
      <c r="D858" s="13">
        <v>12</v>
      </c>
      <c r="E858" s="14">
        <v>40263.584027777782</v>
      </c>
      <c r="F858" s="13">
        <v>1.69</v>
      </c>
      <c r="G858" s="13">
        <v>12477</v>
      </c>
      <c r="H858" s="13" t="s">
        <v>17</v>
      </c>
    </row>
    <row r="859" spans="1:8" ht="15.75" customHeight="1" x14ac:dyDescent="0.25">
      <c r="A859" s="13">
        <v>503295</v>
      </c>
      <c r="B859" s="13">
        <v>22326</v>
      </c>
      <c r="C859" s="13" t="s">
        <v>861</v>
      </c>
      <c r="D859" s="13">
        <v>6</v>
      </c>
      <c r="E859" s="13" t="s">
        <v>862</v>
      </c>
      <c r="F859" s="13">
        <v>2.95</v>
      </c>
      <c r="G859" s="13">
        <v>13179</v>
      </c>
      <c r="H859" s="13" t="s">
        <v>9</v>
      </c>
    </row>
    <row r="860" spans="1:8" ht="15.75" customHeight="1" x14ac:dyDescent="0.25">
      <c r="A860" s="13">
        <v>532798</v>
      </c>
      <c r="B860" s="13">
        <v>22026</v>
      </c>
      <c r="C860" s="13" t="s">
        <v>555</v>
      </c>
      <c r="D860" s="13">
        <v>12</v>
      </c>
      <c r="E860" s="14">
        <v>40496.615972222222</v>
      </c>
      <c r="F860" s="13">
        <v>0.42</v>
      </c>
      <c r="G860" s="13">
        <v>17544</v>
      </c>
      <c r="H860" s="13" t="s">
        <v>9</v>
      </c>
    </row>
    <row r="861" spans="1:8" ht="15.75" customHeight="1" x14ac:dyDescent="0.25">
      <c r="A861" s="13">
        <v>498570</v>
      </c>
      <c r="B861" s="13">
        <v>22202</v>
      </c>
      <c r="C861" s="13" t="s">
        <v>863</v>
      </c>
      <c r="D861" s="13">
        <v>1</v>
      </c>
      <c r="E861" s="14">
        <v>40230.536111111112</v>
      </c>
      <c r="F861" s="13">
        <v>3.75</v>
      </c>
      <c r="G861" s="13">
        <v>15059</v>
      </c>
      <c r="H861" s="13" t="s">
        <v>9</v>
      </c>
    </row>
    <row r="862" spans="1:8" ht="15.75" customHeight="1" x14ac:dyDescent="0.25">
      <c r="A862" s="13">
        <v>490461</v>
      </c>
      <c r="B862" s="13">
        <v>22218</v>
      </c>
      <c r="C862" s="13" t="s">
        <v>589</v>
      </c>
      <c r="D862" s="13">
        <v>2</v>
      </c>
      <c r="E862" s="14">
        <v>40153.504861111112</v>
      </c>
      <c r="F862" s="13">
        <v>4.25</v>
      </c>
      <c r="G862" s="13">
        <v>13736</v>
      </c>
      <c r="H862" s="13" t="s">
        <v>9</v>
      </c>
    </row>
    <row r="863" spans="1:8" ht="15.75" customHeight="1" x14ac:dyDescent="0.25">
      <c r="A863" s="13">
        <v>523369</v>
      </c>
      <c r="B863" s="13">
        <v>21527</v>
      </c>
      <c r="C863" s="13" t="s">
        <v>864</v>
      </c>
      <c r="D863" s="13">
        <v>6</v>
      </c>
      <c r="E863" s="14">
        <v>40442.770833333343</v>
      </c>
      <c r="F863" s="13">
        <v>7.95</v>
      </c>
      <c r="G863" s="13">
        <v>14113</v>
      </c>
      <c r="H863" s="13" t="s">
        <v>9</v>
      </c>
    </row>
    <row r="864" spans="1:8" ht="15.75" customHeight="1" x14ac:dyDescent="0.25">
      <c r="A864" s="13">
        <v>499874</v>
      </c>
      <c r="B864" s="13">
        <v>21390</v>
      </c>
      <c r="C864" s="13" t="s">
        <v>865</v>
      </c>
      <c r="D864" s="13">
        <v>24</v>
      </c>
      <c r="E864" s="14">
        <v>40240.362500000003</v>
      </c>
      <c r="F864" s="13">
        <v>1.25</v>
      </c>
      <c r="G864" s="13">
        <v>16556</v>
      </c>
      <c r="H864" s="13" t="s">
        <v>9</v>
      </c>
    </row>
    <row r="865" spans="1:8" ht="15.75" customHeight="1" x14ac:dyDescent="0.25">
      <c r="A865" s="13">
        <v>503987</v>
      </c>
      <c r="B865" s="13">
        <v>22198</v>
      </c>
      <c r="C865" s="13" t="s">
        <v>866</v>
      </c>
      <c r="D865" s="13">
        <v>48</v>
      </c>
      <c r="E865" s="14">
        <v>40277.428472222222</v>
      </c>
      <c r="F865" s="13">
        <v>1.65</v>
      </c>
      <c r="G865" s="13">
        <v>14961</v>
      </c>
      <c r="H865" s="13" t="s">
        <v>9</v>
      </c>
    </row>
    <row r="866" spans="1:8" ht="15.75" customHeight="1" x14ac:dyDescent="0.25">
      <c r="A866" s="13">
        <v>496609</v>
      </c>
      <c r="B866" s="13" t="s">
        <v>867</v>
      </c>
      <c r="C866" s="13" t="s">
        <v>868</v>
      </c>
      <c r="D866" s="13">
        <v>4</v>
      </c>
      <c r="E866" s="14">
        <v>40211.695833333331</v>
      </c>
      <c r="F866" s="13">
        <v>2.95</v>
      </c>
      <c r="G866" s="13">
        <v>17092</v>
      </c>
      <c r="H866" s="13" t="s">
        <v>9</v>
      </c>
    </row>
    <row r="867" spans="1:8" ht="15.75" customHeight="1" x14ac:dyDescent="0.25">
      <c r="A867" s="13">
        <v>523513</v>
      </c>
      <c r="B867" s="13">
        <v>71477</v>
      </c>
      <c r="C867" s="13" t="s">
        <v>84</v>
      </c>
      <c r="D867" s="13">
        <v>6</v>
      </c>
      <c r="E867" s="14">
        <v>40443.526388888888</v>
      </c>
      <c r="F867" s="13">
        <v>2.75</v>
      </c>
      <c r="G867" s="13">
        <v>17850</v>
      </c>
      <c r="H867" s="13" t="s">
        <v>9</v>
      </c>
    </row>
    <row r="868" spans="1:8" ht="15.75" customHeight="1" x14ac:dyDescent="0.25">
      <c r="A868" s="13">
        <v>531352</v>
      </c>
      <c r="B868" s="13" t="s">
        <v>869</v>
      </c>
      <c r="C868" s="13" t="s">
        <v>676</v>
      </c>
      <c r="D868" s="13">
        <v>5</v>
      </c>
      <c r="E868" s="14">
        <v>40489.572916666657</v>
      </c>
      <c r="F868" s="13">
        <v>1.65</v>
      </c>
      <c r="G868" s="13">
        <v>13137</v>
      </c>
      <c r="H868" s="13" t="s">
        <v>9</v>
      </c>
    </row>
    <row r="869" spans="1:8" ht="15.75" customHeight="1" x14ac:dyDescent="0.25">
      <c r="A869" s="13">
        <v>515595</v>
      </c>
      <c r="B869" s="13">
        <v>84836</v>
      </c>
      <c r="C869" s="13" t="s">
        <v>15</v>
      </c>
      <c r="D869" s="13">
        <v>24</v>
      </c>
      <c r="E869" s="14">
        <v>40372.576388888891</v>
      </c>
      <c r="F869" s="13">
        <v>1.25</v>
      </c>
      <c r="G869" s="13" t="s">
        <v>417</v>
      </c>
      <c r="H869" s="13" t="s">
        <v>9</v>
      </c>
    </row>
    <row r="870" spans="1:8" ht="15.75" customHeight="1" x14ac:dyDescent="0.25">
      <c r="A870" s="13">
        <v>512332</v>
      </c>
      <c r="B870" s="13">
        <v>22491</v>
      </c>
      <c r="C870" s="13" t="s">
        <v>870</v>
      </c>
      <c r="D870" s="13">
        <v>12</v>
      </c>
      <c r="E870" s="14">
        <v>40344.487500000003</v>
      </c>
      <c r="F870" s="13">
        <v>0.85</v>
      </c>
      <c r="G870" s="13">
        <v>15358</v>
      </c>
      <c r="H870" s="13" t="s">
        <v>9</v>
      </c>
    </row>
    <row r="871" spans="1:8" ht="15.75" customHeight="1" x14ac:dyDescent="0.25">
      <c r="A871" s="13">
        <v>536535</v>
      </c>
      <c r="B871" s="13">
        <v>22311</v>
      </c>
      <c r="C871" s="13" t="s">
        <v>871</v>
      </c>
      <c r="D871" s="13">
        <v>6</v>
      </c>
      <c r="E871" s="14">
        <v>40513.568055555559</v>
      </c>
      <c r="F871" s="13">
        <v>2.95</v>
      </c>
      <c r="G871" s="13">
        <v>15605</v>
      </c>
      <c r="H871" s="13" t="s">
        <v>9</v>
      </c>
    </row>
    <row r="872" spans="1:8" ht="15.75" customHeight="1" x14ac:dyDescent="0.25">
      <c r="A872" s="13">
        <v>507289</v>
      </c>
      <c r="B872" s="13">
        <v>21171</v>
      </c>
      <c r="C872" s="13" t="s">
        <v>556</v>
      </c>
      <c r="D872" s="13">
        <v>3</v>
      </c>
      <c r="E872" s="14">
        <v>40305.584722222222</v>
      </c>
      <c r="F872" s="13">
        <v>1.45</v>
      </c>
      <c r="G872" s="13">
        <v>14535</v>
      </c>
      <c r="H872" s="13" t="s">
        <v>9</v>
      </c>
    </row>
    <row r="873" spans="1:8" ht="15.75" customHeight="1" x14ac:dyDescent="0.25">
      <c r="A873" s="13">
        <v>527407</v>
      </c>
      <c r="B873" s="13">
        <v>22451</v>
      </c>
      <c r="C873" s="13" t="s">
        <v>625</v>
      </c>
      <c r="D873" s="13">
        <v>1</v>
      </c>
      <c r="E873" s="14">
        <v>40468.613888888889</v>
      </c>
      <c r="F873" s="13">
        <v>3.35</v>
      </c>
      <c r="G873" s="13">
        <v>17141</v>
      </c>
      <c r="H873" s="13" t="s">
        <v>9</v>
      </c>
    </row>
    <row r="874" spans="1:8" ht="15.75" customHeight="1" x14ac:dyDescent="0.25">
      <c r="A874" s="13">
        <v>505340</v>
      </c>
      <c r="B874" s="13">
        <v>21519</v>
      </c>
      <c r="C874" s="13" t="s">
        <v>435</v>
      </c>
      <c r="D874" s="13">
        <v>12</v>
      </c>
      <c r="E874" s="14">
        <v>40289.555555555547</v>
      </c>
      <c r="F874" s="13">
        <v>0.36</v>
      </c>
      <c r="G874" s="13">
        <v>17448</v>
      </c>
      <c r="H874" s="13" t="s">
        <v>9</v>
      </c>
    </row>
    <row r="875" spans="1:8" ht="15.75" customHeight="1" x14ac:dyDescent="0.25">
      <c r="A875" s="13">
        <v>490281</v>
      </c>
      <c r="B875" s="13">
        <v>48185</v>
      </c>
      <c r="C875" s="13" t="s">
        <v>872</v>
      </c>
      <c r="D875" s="13">
        <v>2</v>
      </c>
      <c r="E875" s="14">
        <v>40151.525694444441</v>
      </c>
      <c r="F875" s="13">
        <v>6.75</v>
      </c>
      <c r="G875" s="13">
        <v>13481</v>
      </c>
      <c r="H875" s="13" t="s">
        <v>9</v>
      </c>
    </row>
    <row r="876" spans="1:8" ht="15.75" customHeight="1" x14ac:dyDescent="0.25">
      <c r="A876" s="13">
        <v>494866</v>
      </c>
      <c r="B876" s="13">
        <v>22261</v>
      </c>
      <c r="C876" s="13" t="s">
        <v>873</v>
      </c>
      <c r="D876" s="13">
        <v>5</v>
      </c>
      <c r="E876" s="14">
        <v>40197.472222222219</v>
      </c>
      <c r="F876" s="13">
        <v>0.85</v>
      </c>
      <c r="G876" s="13">
        <v>16253</v>
      </c>
      <c r="H876" s="13" t="s">
        <v>9</v>
      </c>
    </row>
    <row r="877" spans="1:8" ht="15.75" customHeight="1" x14ac:dyDescent="0.25">
      <c r="A877" s="13">
        <v>495415</v>
      </c>
      <c r="B877" s="13" t="s">
        <v>874</v>
      </c>
      <c r="C877" s="13" t="s">
        <v>875</v>
      </c>
      <c r="D877" s="13">
        <v>6</v>
      </c>
      <c r="E877" s="14">
        <v>40203.480555555558</v>
      </c>
      <c r="F877" s="13">
        <v>2.5499999999999998</v>
      </c>
      <c r="G877" s="13">
        <v>18199</v>
      </c>
      <c r="H877" s="13" t="s">
        <v>9</v>
      </c>
    </row>
    <row r="878" spans="1:8" ht="15.75" customHeight="1" x14ac:dyDescent="0.25">
      <c r="A878" s="13">
        <v>499168</v>
      </c>
      <c r="B878" s="13">
        <v>47502</v>
      </c>
      <c r="C878" s="13" t="s">
        <v>626</v>
      </c>
      <c r="D878" s="13">
        <v>10</v>
      </c>
      <c r="E878" s="14">
        <v>40234.397916666669</v>
      </c>
      <c r="F878" s="13">
        <v>9.9499999999999993</v>
      </c>
      <c r="G878" s="13">
        <v>16029</v>
      </c>
      <c r="H878" s="13" t="s">
        <v>9</v>
      </c>
    </row>
    <row r="879" spans="1:8" ht="15.75" customHeight="1" x14ac:dyDescent="0.25">
      <c r="A879" s="13">
        <v>519881</v>
      </c>
      <c r="B879" s="13">
        <v>21932</v>
      </c>
      <c r="C879" s="13" t="s">
        <v>876</v>
      </c>
      <c r="D879" s="13">
        <v>5</v>
      </c>
      <c r="E879" s="14">
        <v>40412.477777777778</v>
      </c>
      <c r="F879" s="13">
        <v>2.95</v>
      </c>
      <c r="G879" s="13">
        <v>16275</v>
      </c>
      <c r="H879" s="13" t="s">
        <v>9</v>
      </c>
    </row>
    <row r="880" spans="1:8" ht="15.75" customHeight="1" x14ac:dyDescent="0.25">
      <c r="A880" s="13">
        <v>490542</v>
      </c>
      <c r="B880" s="13" t="s">
        <v>877</v>
      </c>
      <c r="C880" s="13" t="s">
        <v>878</v>
      </c>
      <c r="D880" s="13">
        <v>1</v>
      </c>
      <c r="E880" s="14">
        <v>40154.404166666667</v>
      </c>
      <c r="F880" s="13">
        <v>50</v>
      </c>
      <c r="G880" s="13">
        <v>14911</v>
      </c>
      <c r="H880" s="13" t="s">
        <v>11</v>
      </c>
    </row>
    <row r="881" spans="1:8" ht="15.75" customHeight="1" x14ac:dyDescent="0.25">
      <c r="A881" s="13">
        <v>525030</v>
      </c>
      <c r="B881" s="13">
        <v>22577</v>
      </c>
      <c r="C881" s="13" t="s">
        <v>601</v>
      </c>
      <c r="D881" s="13">
        <v>13</v>
      </c>
      <c r="E881" s="14">
        <v>40454.512499999997</v>
      </c>
      <c r="F881" s="13">
        <v>0.85</v>
      </c>
      <c r="G881" s="13">
        <v>15351</v>
      </c>
      <c r="H881" s="13" t="s">
        <v>9</v>
      </c>
    </row>
    <row r="882" spans="1:8" ht="15.75" customHeight="1" x14ac:dyDescent="0.25">
      <c r="A882" s="13">
        <v>495029</v>
      </c>
      <c r="B882" s="13">
        <v>22293</v>
      </c>
      <c r="C882" s="13" t="s">
        <v>879</v>
      </c>
      <c r="D882" s="13">
        <v>3</v>
      </c>
      <c r="E882" s="14">
        <v>40198.585416666669</v>
      </c>
      <c r="F882" s="13">
        <v>1.45</v>
      </c>
      <c r="G882" s="13">
        <v>16085</v>
      </c>
      <c r="H882" s="13" t="s">
        <v>9</v>
      </c>
    </row>
    <row r="883" spans="1:8" ht="15.75" customHeight="1" x14ac:dyDescent="0.25">
      <c r="A883" s="13">
        <v>516193</v>
      </c>
      <c r="B883" s="13">
        <v>82551</v>
      </c>
      <c r="C883" s="13" t="s">
        <v>662</v>
      </c>
      <c r="D883" s="13">
        <v>12</v>
      </c>
      <c r="E883" s="14">
        <v>40378.418055555558</v>
      </c>
      <c r="F883" s="13">
        <v>1.25</v>
      </c>
      <c r="G883" s="13">
        <v>12696</v>
      </c>
      <c r="H883" s="13" t="s">
        <v>880</v>
      </c>
    </row>
    <row r="884" spans="1:8" ht="15.75" customHeight="1" x14ac:dyDescent="0.25">
      <c r="A884" s="13">
        <v>528615</v>
      </c>
      <c r="B884" s="13">
        <v>22736</v>
      </c>
      <c r="C884" s="13" t="s">
        <v>596</v>
      </c>
      <c r="D884" s="13">
        <v>1</v>
      </c>
      <c r="E884" s="14">
        <v>40473.691666666673</v>
      </c>
      <c r="F884" s="13">
        <v>1.65</v>
      </c>
      <c r="G884" s="13">
        <v>17231</v>
      </c>
      <c r="H884" s="13" t="s">
        <v>9</v>
      </c>
    </row>
    <row r="885" spans="1:8" ht="15.75" customHeight="1" x14ac:dyDescent="0.25">
      <c r="A885" s="13">
        <v>520336</v>
      </c>
      <c r="B885" s="13">
        <v>84879</v>
      </c>
      <c r="C885" s="13" t="s">
        <v>143</v>
      </c>
      <c r="D885" s="13">
        <v>8</v>
      </c>
      <c r="E885" s="14">
        <v>40415.527083333327</v>
      </c>
      <c r="F885" s="13">
        <v>1.69</v>
      </c>
      <c r="G885" s="13">
        <v>16019</v>
      </c>
      <c r="H885" s="13" t="s">
        <v>9</v>
      </c>
    </row>
    <row r="886" spans="1:8" ht="15.75" customHeight="1" x14ac:dyDescent="0.25">
      <c r="A886" s="13">
        <v>529522</v>
      </c>
      <c r="B886" s="13">
        <v>22178</v>
      </c>
      <c r="C886" s="13" t="s">
        <v>193</v>
      </c>
      <c r="D886" s="13">
        <v>12</v>
      </c>
      <c r="E886" s="14">
        <v>40479.650694444441</v>
      </c>
      <c r="F886" s="13">
        <v>1.25</v>
      </c>
      <c r="G886" s="13">
        <v>14303</v>
      </c>
      <c r="H886" s="13" t="s">
        <v>9</v>
      </c>
    </row>
    <row r="887" spans="1:8" ht="15.75" customHeight="1" x14ac:dyDescent="0.25">
      <c r="A887" s="13" t="s">
        <v>881</v>
      </c>
      <c r="B887" s="13">
        <v>21467</v>
      </c>
      <c r="C887" s="13" t="s">
        <v>882</v>
      </c>
      <c r="D887" s="13">
        <v>1</v>
      </c>
      <c r="E887" s="14">
        <v>40421.644444444442</v>
      </c>
      <c r="F887" s="13">
        <v>3.75</v>
      </c>
      <c r="G887" s="13">
        <v>17346</v>
      </c>
      <c r="H887" s="13" t="s">
        <v>9</v>
      </c>
    </row>
    <row r="888" spans="1:8" ht="15.75" customHeight="1" x14ac:dyDescent="0.25">
      <c r="A888" s="13">
        <v>519586</v>
      </c>
      <c r="B888" s="13">
        <v>21733</v>
      </c>
      <c r="C888" s="13" t="s">
        <v>883</v>
      </c>
      <c r="D888" s="13">
        <v>6</v>
      </c>
      <c r="E888" s="14">
        <v>40408.581944444442</v>
      </c>
      <c r="F888" s="13">
        <v>2.95</v>
      </c>
      <c r="G888" s="13">
        <v>15764</v>
      </c>
      <c r="H888" s="13" t="s">
        <v>132</v>
      </c>
    </row>
    <row r="889" spans="1:8" ht="15.75" customHeight="1" x14ac:dyDescent="0.25">
      <c r="A889" s="13">
        <v>530953</v>
      </c>
      <c r="B889" s="13">
        <v>21231</v>
      </c>
      <c r="C889" s="13" t="s">
        <v>493</v>
      </c>
      <c r="D889" s="13">
        <v>4</v>
      </c>
      <c r="E889" s="14">
        <v>40486.779166666667</v>
      </c>
      <c r="F889" s="13">
        <v>1.25</v>
      </c>
      <c r="G889" s="13">
        <v>18168</v>
      </c>
      <c r="H889" s="13" t="s">
        <v>9</v>
      </c>
    </row>
    <row r="890" spans="1:8" ht="15.75" customHeight="1" x14ac:dyDescent="0.25">
      <c r="A890" s="13">
        <v>492839</v>
      </c>
      <c r="B890" s="13">
        <v>82600</v>
      </c>
      <c r="C890" s="13" t="s">
        <v>268</v>
      </c>
      <c r="D890" s="13">
        <v>3</v>
      </c>
      <c r="E890" s="14">
        <v>40168.463888888888</v>
      </c>
      <c r="F890" s="13">
        <v>2.1</v>
      </c>
      <c r="G890" s="13">
        <v>14085</v>
      </c>
      <c r="H890" s="13" t="s">
        <v>9</v>
      </c>
    </row>
    <row r="891" spans="1:8" ht="15.75" customHeight="1" x14ac:dyDescent="0.25">
      <c r="A891" s="13">
        <v>520484</v>
      </c>
      <c r="B891" s="13">
        <v>20685</v>
      </c>
      <c r="C891" s="13" t="s">
        <v>884</v>
      </c>
      <c r="D891" s="13">
        <v>2</v>
      </c>
      <c r="E891" s="13" t="s">
        <v>885</v>
      </c>
      <c r="F891" s="13">
        <v>7.49</v>
      </c>
      <c r="G891" s="13">
        <v>14930</v>
      </c>
      <c r="H891" s="13" t="s">
        <v>230</v>
      </c>
    </row>
    <row r="892" spans="1:8" ht="15.75" customHeight="1" x14ac:dyDescent="0.25">
      <c r="A892" s="13">
        <v>524534</v>
      </c>
      <c r="B892" s="13">
        <v>22816</v>
      </c>
      <c r="C892" s="13" t="s">
        <v>886</v>
      </c>
      <c r="D892" s="13">
        <v>24</v>
      </c>
      <c r="E892" s="14">
        <v>40450.565972222219</v>
      </c>
      <c r="F892" s="13">
        <v>0.42</v>
      </c>
      <c r="G892" s="13">
        <v>14510</v>
      </c>
      <c r="H892" s="13" t="s">
        <v>9</v>
      </c>
    </row>
    <row r="893" spans="1:8" ht="15.75" customHeight="1" x14ac:dyDescent="0.25">
      <c r="A893" s="13">
        <v>532821</v>
      </c>
      <c r="B893" s="13">
        <v>20961</v>
      </c>
      <c r="C893" s="13" t="s">
        <v>156</v>
      </c>
      <c r="D893" s="13">
        <v>2</v>
      </c>
      <c r="E893" s="14">
        <v>40496.688888888893</v>
      </c>
      <c r="F893" s="13" t="s">
        <v>42</v>
      </c>
      <c r="G893" s="13">
        <v>14382</v>
      </c>
      <c r="H893" s="13" t="s">
        <v>9</v>
      </c>
    </row>
    <row r="894" spans="1:8" ht="15.75" customHeight="1" x14ac:dyDescent="0.25">
      <c r="A894" s="13">
        <v>527073</v>
      </c>
      <c r="B894" s="13">
        <v>22470</v>
      </c>
      <c r="C894"/>
      <c r="D894" s="13">
        <v>44</v>
      </c>
      <c r="E894" s="14">
        <v>40465.595833333333</v>
      </c>
      <c r="F894" s="13">
        <v>2.5499999999999998</v>
      </c>
      <c r="G894" s="13">
        <v>15050</v>
      </c>
      <c r="H894" s="13" t="s">
        <v>9</v>
      </c>
    </row>
    <row r="895" spans="1:8" ht="15.75" customHeight="1" x14ac:dyDescent="0.25">
      <c r="A895" s="13">
        <v>491800</v>
      </c>
      <c r="B895" s="13">
        <v>21268</v>
      </c>
      <c r="C895" s="13" t="s">
        <v>887</v>
      </c>
      <c r="D895" s="13">
        <v>48</v>
      </c>
      <c r="E895" s="14">
        <v>40161.540277777778</v>
      </c>
      <c r="F895" s="13">
        <v>0.42</v>
      </c>
      <c r="G895" s="13">
        <v>17511</v>
      </c>
      <c r="H895" s="13" t="s">
        <v>9</v>
      </c>
    </row>
    <row r="896" spans="1:8" ht="15.75" customHeight="1" x14ac:dyDescent="0.25">
      <c r="A896" s="13">
        <v>532989</v>
      </c>
      <c r="B896" s="13">
        <v>22271</v>
      </c>
      <c r="C896" s="13" t="s">
        <v>888</v>
      </c>
      <c r="D896" s="13">
        <v>1</v>
      </c>
      <c r="E896" s="14">
        <v>40497.589583333327</v>
      </c>
      <c r="F896" s="13">
        <v>2.95</v>
      </c>
      <c r="G896" s="13" t="s">
        <v>889</v>
      </c>
      <c r="H896" s="13" t="s">
        <v>9</v>
      </c>
    </row>
    <row r="897" spans="1:8" ht="15.75" customHeight="1" x14ac:dyDescent="0.25">
      <c r="A897" s="13" t="s">
        <v>890</v>
      </c>
      <c r="B897" s="13">
        <v>22109</v>
      </c>
      <c r="C897" s="13" t="s">
        <v>821</v>
      </c>
      <c r="D897" s="13">
        <v>-1</v>
      </c>
      <c r="E897" s="14">
        <v>40253.421527777777</v>
      </c>
      <c r="F897" s="13">
        <v>3.75</v>
      </c>
      <c r="G897" s="13" t="s">
        <v>891</v>
      </c>
      <c r="H897" s="13" t="s">
        <v>9</v>
      </c>
    </row>
    <row r="898" spans="1:8" ht="15.75" customHeight="1" x14ac:dyDescent="0.25">
      <c r="A898" s="13">
        <v>504717</v>
      </c>
      <c r="B898" s="13">
        <v>22605</v>
      </c>
      <c r="C898" s="13" t="s">
        <v>103</v>
      </c>
      <c r="D898" s="13">
        <v>4</v>
      </c>
      <c r="E898" s="14">
        <v>40284.450694444437</v>
      </c>
      <c r="F898" s="13">
        <v>10.95</v>
      </c>
      <c r="G898" s="13">
        <v>16098</v>
      </c>
      <c r="H898" s="13" t="s">
        <v>9</v>
      </c>
    </row>
    <row r="899" spans="1:8" ht="15.75" customHeight="1" x14ac:dyDescent="0.25">
      <c r="A899" s="13">
        <v>513964</v>
      </c>
      <c r="B899" s="13" t="s">
        <v>751</v>
      </c>
      <c r="C899" s="13" t="s">
        <v>752</v>
      </c>
      <c r="D899" s="13">
        <v>6</v>
      </c>
      <c r="E899" s="14">
        <v>40358.636805555558</v>
      </c>
      <c r="F899" s="13">
        <v>3.75</v>
      </c>
      <c r="G899" s="13">
        <v>12380</v>
      </c>
      <c r="H899" s="13" t="s">
        <v>82</v>
      </c>
    </row>
    <row r="900" spans="1:8" ht="15.75" customHeight="1" x14ac:dyDescent="0.25">
      <c r="A900" s="13">
        <v>510360</v>
      </c>
      <c r="B900" s="13">
        <v>22090</v>
      </c>
      <c r="C900" s="13" t="s">
        <v>538</v>
      </c>
      <c r="D900" s="13">
        <v>1</v>
      </c>
      <c r="E900" s="14">
        <v>40326.674305555563</v>
      </c>
      <c r="F900" s="13">
        <v>2.95</v>
      </c>
      <c r="G900" s="13">
        <v>14104</v>
      </c>
      <c r="H900" s="13" t="s">
        <v>9</v>
      </c>
    </row>
    <row r="901" spans="1:8" ht="15.75" customHeight="1" x14ac:dyDescent="0.25">
      <c r="A901" s="13">
        <v>524323</v>
      </c>
      <c r="B901" s="13">
        <v>22726</v>
      </c>
      <c r="C901" s="13" t="s">
        <v>383</v>
      </c>
      <c r="D901" s="13">
        <v>4</v>
      </c>
      <c r="E901" s="14">
        <v>40449.611805555563</v>
      </c>
      <c r="F901" s="13">
        <v>3.75</v>
      </c>
      <c r="G901" s="13">
        <v>12476</v>
      </c>
      <c r="H901" s="13" t="s">
        <v>17</v>
      </c>
    </row>
    <row r="902" spans="1:8" ht="15.75" customHeight="1" x14ac:dyDescent="0.25">
      <c r="A902" s="13">
        <v>521974</v>
      </c>
      <c r="B902" s="13">
        <v>21156</v>
      </c>
      <c r="C902" s="13" t="s">
        <v>23</v>
      </c>
      <c r="D902" s="13">
        <v>2</v>
      </c>
      <c r="E902" s="14">
        <v>40430.830555555563</v>
      </c>
      <c r="F902" s="13">
        <v>1.95</v>
      </c>
      <c r="G902" s="13">
        <v>15861</v>
      </c>
      <c r="H902" s="13" t="s">
        <v>9</v>
      </c>
    </row>
    <row r="903" spans="1:8" ht="15.75" customHeight="1" x14ac:dyDescent="0.25">
      <c r="A903" s="13">
        <v>532764</v>
      </c>
      <c r="B903" s="13">
        <v>22576</v>
      </c>
      <c r="C903" s="13" t="s">
        <v>258</v>
      </c>
      <c r="D903" s="13">
        <v>1</v>
      </c>
      <c r="E903" s="14">
        <v>40496.588194444441</v>
      </c>
      <c r="F903" s="13">
        <v>0.85</v>
      </c>
      <c r="G903" s="13">
        <v>14684</v>
      </c>
      <c r="H903" s="13" t="s">
        <v>9</v>
      </c>
    </row>
    <row r="904" spans="1:8" ht="15.75" customHeight="1" x14ac:dyDescent="0.25">
      <c r="A904" s="13">
        <v>498696</v>
      </c>
      <c r="B904" s="13" t="s">
        <v>892</v>
      </c>
      <c r="C904" s="13" t="s">
        <v>893</v>
      </c>
      <c r="D904" s="13">
        <v>1</v>
      </c>
      <c r="E904" s="14">
        <v>40231.503472222219</v>
      </c>
      <c r="F904" s="13">
        <v>10.75</v>
      </c>
      <c r="G904" s="13">
        <v>16619</v>
      </c>
      <c r="H904" s="13" t="s">
        <v>9</v>
      </c>
    </row>
    <row r="905" spans="1:8" ht="15.75" customHeight="1" x14ac:dyDescent="0.25">
      <c r="A905" s="13">
        <v>501665</v>
      </c>
      <c r="B905" s="13" t="s">
        <v>277</v>
      </c>
      <c r="C905" s="13" t="s">
        <v>894</v>
      </c>
      <c r="D905" s="13">
        <v>10</v>
      </c>
      <c r="E905" s="14">
        <v>40255.593055555553</v>
      </c>
      <c r="F905" s="13">
        <v>1.95</v>
      </c>
      <c r="G905" s="13">
        <v>16108</v>
      </c>
      <c r="H905" s="13" t="s">
        <v>9</v>
      </c>
    </row>
    <row r="906" spans="1:8" ht="15.75" customHeight="1" x14ac:dyDescent="0.25">
      <c r="A906" s="13">
        <v>534003</v>
      </c>
      <c r="B906" s="13">
        <v>21587</v>
      </c>
      <c r="C906" s="13" t="s">
        <v>895</v>
      </c>
      <c r="D906" s="13">
        <v>1</v>
      </c>
      <c r="E906" s="14">
        <v>40501.602083333331</v>
      </c>
      <c r="F906" s="13">
        <v>2.5499999999999998</v>
      </c>
      <c r="G906" s="13" t="s">
        <v>896</v>
      </c>
      <c r="H906" s="13" t="s">
        <v>9</v>
      </c>
    </row>
    <row r="907" spans="1:8" ht="15.75" customHeight="1" x14ac:dyDescent="0.25">
      <c r="A907" s="13">
        <v>530350</v>
      </c>
      <c r="B907" s="13">
        <v>84773</v>
      </c>
      <c r="C907" s="13" t="s">
        <v>823</v>
      </c>
      <c r="D907" s="13">
        <v>2</v>
      </c>
      <c r="E907" s="14">
        <v>40484.658333333333</v>
      </c>
      <c r="F907" s="13">
        <v>2.95</v>
      </c>
      <c r="G907" s="13">
        <v>14506</v>
      </c>
      <c r="H907" s="13" t="s">
        <v>9</v>
      </c>
    </row>
    <row r="908" spans="1:8" ht="15.75" customHeight="1" x14ac:dyDescent="0.25">
      <c r="A908" s="13">
        <v>526204</v>
      </c>
      <c r="B908" s="13">
        <v>22750</v>
      </c>
      <c r="C908" s="13" t="s">
        <v>545</v>
      </c>
      <c r="D908" s="13">
        <v>3</v>
      </c>
      <c r="E908" s="14">
        <v>40461.557638888888</v>
      </c>
      <c r="F908" s="13">
        <v>3.75</v>
      </c>
      <c r="G908" s="13">
        <v>14040</v>
      </c>
      <c r="H908" s="13" t="s">
        <v>9</v>
      </c>
    </row>
    <row r="909" spans="1:8" ht="15.75" customHeight="1" x14ac:dyDescent="0.25">
      <c r="A909" s="13">
        <v>500338</v>
      </c>
      <c r="B909" s="13">
        <v>21889</v>
      </c>
      <c r="C909" s="13" t="s">
        <v>346</v>
      </c>
      <c r="D909" s="13">
        <v>2</v>
      </c>
      <c r="E909" s="14">
        <v>40244.586805555547</v>
      </c>
      <c r="F909" s="13">
        <v>1.25</v>
      </c>
      <c r="G909" s="13">
        <v>13276</v>
      </c>
      <c r="H909" s="13" t="s">
        <v>9</v>
      </c>
    </row>
    <row r="910" spans="1:8" ht="15.75" customHeight="1" x14ac:dyDescent="0.25">
      <c r="A910" s="13">
        <v>511266</v>
      </c>
      <c r="B910" s="13">
        <v>21544</v>
      </c>
      <c r="C910" s="13" t="s">
        <v>897</v>
      </c>
      <c r="D910" s="13">
        <v>2</v>
      </c>
      <c r="E910" s="14">
        <v>40336.535416666673</v>
      </c>
      <c r="F910" s="13">
        <v>0.85</v>
      </c>
      <c r="G910" s="13">
        <v>14534</v>
      </c>
      <c r="H910" s="13" t="s">
        <v>9</v>
      </c>
    </row>
    <row r="911" spans="1:8" ht="15.75" customHeight="1" x14ac:dyDescent="0.25">
      <c r="A911" s="13">
        <v>528957</v>
      </c>
      <c r="B911" s="13">
        <v>21219</v>
      </c>
      <c r="C911" s="13" t="s">
        <v>898</v>
      </c>
      <c r="D911" s="13" t="s">
        <v>59</v>
      </c>
      <c r="E911" s="14">
        <v>40477.367361111108</v>
      </c>
      <c r="F911" s="13">
        <v>1.25</v>
      </c>
      <c r="G911"/>
      <c r="H911" s="13" t="s">
        <v>17</v>
      </c>
    </row>
    <row r="912" spans="1:8" ht="15.75" customHeight="1" x14ac:dyDescent="0.25">
      <c r="A912" s="13">
        <v>513762</v>
      </c>
      <c r="B912" s="13">
        <v>22558</v>
      </c>
      <c r="C912" s="13" t="s">
        <v>899</v>
      </c>
      <c r="D912" s="13">
        <v>24</v>
      </c>
      <c r="E912" s="14">
        <v>40357.540277777778</v>
      </c>
      <c r="F912" s="13">
        <v>1.25</v>
      </c>
      <c r="G912" s="13">
        <v>12451</v>
      </c>
      <c r="H912" s="13" t="s">
        <v>343</v>
      </c>
    </row>
    <row r="913" spans="1:8" ht="15.75" customHeight="1" x14ac:dyDescent="0.25">
      <c r="A913" s="13">
        <v>522086</v>
      </c>
      <c r="B913" s="13">
        <v>22582</v>
      </c>
      <c r="C913" s="13" t="s">
        <v>382</v>
      </c>
      <c r="D913" s="13">
        <v>6</v>
      </c>
      <c r="E913" s="14">
        <v>40433.5</v>
      </c>
      <c r="F913" s="13">
        <v>2.5499999999999998</v>
      </c>
      <c r="G913" s="13">
        <v>16042</v>
      </c>
      <c r="H913" s="13" t="s">
        <v>9</v>
      </c>
    </row>
    <row r="914" spans="1:8" ht="15.75" customHeight="1" x14ac:dyDescent="0.25">
      <c r="A914" s="13">
        <v>536213</v>
      </c>
      <c r="B914" s="13">
        <v>22469</v>
      </c>
      <c r="C914" s="13" t="s">
        <v>663</v>
      </c>
      <c r="D914" s="13">
        <v>10</v>
      </c>
      <c r="E914" s="14">
        <v>40512.564583333333</v>
      </c>
      <c r="F914" s="13">
        <v>1.65</v>
      </c>
      <c r="G914" s="13">
        <v>18170</v>
      </c>
      <c r="H914" s="13" t="s">
        <v>9</v>
      </c>
    </row>
    <row r="915" spans="1:8" ht="15.75" customHeight="1" x14ac:dyDescent="0.25">
      <c r="A915" s="13">
        <v>501320</v>
      </c>
      <c r="B915" s="13">
        <v>22331</v>
      </c>
      <c r="C915" s="13" t="s">
        <v>309</v>
      </c>
      <c r="D915" s="13">
        <v>8</v>
      </c>
      <c r="E915" s="14">
        <v>40253.40902777778</v>
      </c>
      <c r="F915" s="13">
        <v>1.65</v>
      </c>
      <c r="G915" s="13">
        <v>15123</v>
      </c>
      <c r="H915" s="13" t="s">
        <v>9</v>
      </c>
    </row>
    <row r="916" spans="1:8" ht="15.75" customHeight="1" x14ac:dyDescent="0.25">
      <c r="A916" s="13">
        <v>496341</v>
      </c>
      <c r="B916" s="13">
        <v>22236</v>
      </c>
      <c r="C916" s="13" t="s">
        <v>80</v>
      </c>
      <c r="D916" s="13">
        <v>2</v>
      </c>
      <c r="E916" s="14">
        <v>40209.657638888893</v>
      </c>
      <c r="F916" s="13">
        <v>12.75</v>
      </c>
      <c r="G916" s="13">
        <v>17107</v>
      </c>
      <c r="H916" s="13" t="s">
        <v>9</v>
      </c>
    </row>
    <row r="917" spans="1:8" ht="15.75" customHeight="1" x14ac:dyDescent="0.25">
      <c r="A917" s="13">
        <v>492540</v>
      </c>
      <c r="B917" s="13">
        <v>22124</v>
      </c>
      <c r="C917" s="13" t="s">
        <v>900</v>
      </c>
      <c r="D917" s="13">
        <v>1</v>
      </c>
      <c r="E917" s="14">
        <v>40164.566666666673</v>
      </c>
      <c r="F917" s="13">
        <v>2.95</v>
      </c>
      <c r="G917" s="13">
        <v>15005</v>
      </c>
      <c r="H917" s="13" t="s">
        <v>32</v>
      </c>
    </row>
    <row r="918" spans="1:8" ht="15.75" customHeight="1" x14ac:dyDescent="0.25">
      <c r="A918" s="13">
        <v>496338</v>
      </c>
      <c r="B918" s="13">
        <v>85047</v>
      </c>
      <c r="C918" s="13" t="s">
        <v>374</v>
      </c>
      <c r="D918" s="13">
        <v>6</v>
      </c>
      <c r="E918" s="14">
        <v>40209.648611111108</v>
      </c>
      <c r="F918" s="13">
        <v>6.35</v>
      </c>
      <c r="G918" s="13">
        <v>17230</v>
      </c>
      <c r="H918" s="13" t="s">
        <v>9</v>
      </c>
    </row>
    <row r="919" spans="1:8" ht="15.75" customHeight="1" x14ac:dyDescent="0.25">
      <c r="A919" s="13">
        <v>501884</v>
      </c>
      <c r="B919" s="13" t="s">
        <v>901</v>
      </c>
      <c r="C919" s="13" t="s">
        <v>902</v>
      </c>
      <c r="D919" s="13">
        <v>1</v>
      </c>
      <c r="E919" s="14">
        <v>40258.586111111108</v>
      </c>
      <c r="F919" s="13">
        <v>6.95</v>
      </c>
      <c r="G919" s="13">
        <v>17611</v>
      </c>
      <c r="H919" s="13" t="s">
        <v>9</v>
      </c>
    </row>
    <row r="920" spans="1:8" ht="15.75" customHeight="1" x14ac:dyDescent="0.25">
      <c r="A920" s="13">
        <v>501168</v>
      </c>
      <c r="B920" s="13">
        <v>21716</v>
      </c>
      <c r="C920" s="13" t="s">
        <v>903</v>
      </c>
      <c r="D920" s="13">
        <v>8</v>
      </c>
      <c r="E920" s="14">
        <v>40252.418749999997</v>
      </c>
      <c r="F920" s="13">
        <v>2.5499999999999998</v>
      </c>
      <c r="G920" s="13">
        <v>13883</v>
      </c>
      <c r="H920" s="13" t="s">
        <v>9</v>
      </c>
    </row>
    <row r="921" spans="1:8" ht="15.75" customHeight="1" x14ac:dyDescent="0.25">
      <c r="A921" s="13">
        <v>499465</v>
      </c>
      <c r="B921" s="13">
        <v>22071</v>
      </c>
      <c r="C921" s="13" t="s">
        <v>904</v>
      </c>
      <c r="D921" s="13">
        <v>3</v>
      </c>
      <c r="E921" s="14">
        <v>40237.481249999997</v>
      </c>
      <c r="F921" s="13">
        <v>3.75</v>
      </c>
      <c r="G921" s="13">
        <v>14807</v>
      </c>
      <c r="H921" s="13" t="s">
        <v>9</v>
      </c>
    </row>
    <row r="922" spans="1:8" ht="15.75" customHeight="1" x14ac:dyDescent="0.25">
      <c r="A922" s="13">
        <v>535981</v>
      </c>
      <c r="B922" s="13">
        <v>21259</v>
      </c>
      <c r="C922" s="13" t="s">
        <v>905</v>
      </c>
      <c r="D922" s="13">
        <v>4</v>
      </c>
      <c r="E922" s="14">
        <v>40511.54791666667</v>
      </c>
      <c r="F922" s="13">
        <v>5.95</v>
      </c>
      <c r="G922" s="13">
        <v>18109</v>
      </c>
      <c r="H922" s="13" t="s">
        <v>9</v>
      </c>
    </row>
    <row r="923" spans="1:8" ht="15.75" customHeight="1" x14ac:dyDescent="0.25">
      <c r="A923" s="13">
        <v>526207</v>
      </c>
      <c r="B923" s="13">
        <v>21351</v>
      </c>
      <c r="C923" s="13" t="s">
        <v>478</v>
      </c>
      <c r="D923" s="13">
        <v>16</v>
      </c>
      <c r="E923" s="14">
        <v>40461.563194444447</v>
      </c>
      <c r="F923" s="13">
        <v>1.95</v>
      </c>
      <c r="G923" s="13">
        <v>15547</v>
      </c>
      <c r="H923" s="13" t="s">
        <v>9</v>
      </c>
    </row>
    <row r="924" spans="1:8" ht="15.75" customHeight="1" x14ac:dyDescent="0.25">
      <c r="A924" s="13">
        <v>525013</v>
      </c>
      <c r="B924" s="13">
        <v>22577</v>
      </c>
      <c r="C924" s="13" t="s">
        <v>601</v>
      </c>
      <c r="D924" s="13">
        <v>12</v>
      </c>
      <c r="E924" s="14">
        <v>40454.46875</v>
      </c>
      <c r="F924" s="13">
        <v>0.85</v>
      </c>
      <c r="G924" s="13">
        <v>14911</v>
      </c>
      <c r="H924" s="13" t="s">
        <v>11</v>
      </c>
    </row>
    <row r="925" spans="1:8" ht="15.75" customHeight="1" x14ac:dyDescent="0.25">
      <c r="A925" s="13">
        <v>516157</v>
      </c>
      <c r="B925" s="13">
        <v>22382</v>
      </c>
      <c r="C925" s="13" t="s">
        <v>906</v>
      </c>
      <c r="D925" s="13">
        <v>2</v>
      </c>
      <c r="E925" s="14">
        <v>40377.492361111108</v>
      </c>
      <c r="F925" s="13">
        <v>1.65</v>
      </c>
      <c r="G925" s="13">
        <v>17261</v>
      </c>
      <c r="H925" s="13" t="s">
        <v>9</v>
      </c>
    </row>
    <row r="926" spans="1:8" ht="15.75" customHeight="1" x14ac:dyDescent="0.25">
      <c r="A926" s="13">
        <v>537393</v>
      </c>
      <c r="B926" s="13">
        <v>21485</v>
      </c>
      <c r="C926" s="13" t="s">
        <v>907</v>
      </c>
      <c r="D926" s="13">
        <v>48</v>
      </c>
      <c r="E926" s="14">
        <v>40518.582638888889</v>
      </c>
      <c r="F926" s="13">
        <v>4.25</v>
      </c>
      <c r="G926" s="13">
        <v>13089</v>
      </c>
      <c r="H926" s="13" t="s">
        <v>57</v>
      </c>
    </row>
    <row r="927" spans="1:8" ht="15.75" customHeight="1" x14ac:dyDescent="0.25">
      <c r="A927" s="13">
        <v>513426</v>
      </c>
      <c r="B927" s="13">
        <v>21203</v>
      </c>
      <c r="C927" s="13" t="s">
        <v>908</v>
      </c>
      <c r="D927" s="13">
        <v>6</v>
      </c>
      <c r="E927" s="14">
        <v>40353.542361111111</v>
      </c>
      <c r="F927" s="13">
        <v>1.65</v>
      </c>
      <c r="G927" s="13">
        <v>17142</v>
      </c>
      <c r="H927" s="13" t="s">
        <v>9</v>
      </c>
    </row>
    <row r="928" spans="1:8" ht="15.75" customHeight="1" x14ac:dyDescent="0.25">
      <c r="A928" s="13">
        <v>495072</v>
      </c>
      <c r="B928" s="13">
        <v>22195</v>
      </c>
      <c r="C928" s="13" t="s">
        <v>909</v>
      </c>
      <c r="D928" s="13">
        <v>12</v>
      </c>
      <c r="E928" s="14">
        <v>40199.348611111112</v>
      </c>
      <c r="F928" s="13">
        <v>1.65</v>
      </c>
      <c r="G928" s="13">
        <v>14215</v>
      </c>
      <c r="H928" s="13" t="s">
        <v>9</v>
      </c>
    </row>
    <row r="929" spans="1:8" ht="15.75" customHeight="1" x14ac:dyDescent="0.25">
      <c r="A929" s="13">
        <v>528438</v>
      </c>
      <c r="B929" s="13">
        <v>22363</v>
      </c>
      <c r="C929" s="13" t="s">
        <v>910</v>
      </c>
      <c r="D929" s="13">
        <v>6</v>
      </c>
      <c r="E929" s="14">
        <v>40473.444444444453</v>
      </c>
      <c r="F929" s="13">
        <v>2.95</v>
      </c>
      <c r="G929" s="13">
        <v>12419</v>
      </c>
      <c r="H929" s="13" t="s">
        <v>568</v>
      </c>
    </row>
    <row r="930" spans="1:8" ht="15.75" customHeight="1" x14ac:dyDescent="0.25">
      <c r="A930" s="13">
        <v>533143</v>
      </c>
      <c r="B930" s="13">
        <v>22355</v>
      </c>
      <c r="C930" s="13" t="s">
        <v>766</v>
      </c>
      <c r="D930" s="13">
        <v>10</v>
      </c>
      <c r="E930" s="14">
        <v>40498.561111111107</v>
      </c>
      <c r="F930" s="13">
        <v>0.85</v>
      </c>
      <c r="G930" s="13">
        <v>12766</v>
      </c>
      <c r="H930" s="13" t="s">
        <v>245</v>
      </c>
    </row>
    <row r="931" spans="1:8" ht="15.75" customHeight="1" x14ac:dyDescent="0.25">
      <c r="A931" s="13">
        <v>491186</v>
      </c>
      <c r="B931" s="13">
        <v>21491</v>
      </c>
      <c r="C931" s="13" t="s">
        <v>911</v>
      </c>
      <c r="D931" s="13">
        <v>2</v>
      </c>
      <c r="E931" s="14">
        <v>40157.51458333333</v>
      </c>
      <c r="F931" s="13">
        <v>1.95</v>
      </c>
      <c r="G931" s="13">
        <v>15889</v>
      </c>
      <c r="H931" s="13" t="s">
        <v>9</v>
      </c>
    </row>
    <row r="932" spans="1:8" ht="15.75" customHeight="1" x14ac:dyDescent="0.25">
      <c r="A932" s="13">
        <v>496340</v>
      </c>
      <c r="B932" s="13">
        <v>21426</v>
      </c>
      <c r="C932" s="13" t="s">
        <v>137</v>
      </c>
      <c r="D932" s="13">
        <v>6</v>
      </c>
      <c r="E932" s="14">
        <v>40209.65625</v>
      </c>
      <c r="F932" s="13">
        <v>2.1</v>
      </c>
      <c r="G932" s="13">
        <v>12668</v>
      </c>
      <c r="H932" s="13" t="s">
        <v>17</v>
      </c>
    </row>
    <row r="933" spans="1:8" ht="15.75" customHeight="1" x14ac:dyDescent="0.25">
      <c r="A933" s="13">
        <v>527358</v>
      </c>
      <c r="B933" s="13">
        <v>22199</v>
      </c>
      <c r="C933" s="13" t="s">
        <v>912</v>
      </c>
      <c r="D933" s="13">
        <v>1</v>
      </c>
      <c r="E933" s="14">
        <v>40468.445833333331</v>
      </c>
      <c r="F933" s="13">
        <v>4.25</v>
      </c>
      <c r="G933"/>
      <c r="H933" s="13" t="s">
        <v>9</v>
      </c>
    </row>
    <row r="934" spans="1:8" ht="15.75" customHeight="1" x14ac:dyDescent="0.25">
      <c r="A934" s="13">
        <v>533968</v>
      </c>
      <c r="B934" s="13">
        <v>84580</v>
      </c>
      <c r="C934" s="13" t="s">
        <v>127</v>
      </c>
      <c r="D934" s="13">
        <v>1</v>
      </c>
      <c r="E934" s="14">
        <v>40501.551388888889</v>
      </c>
      <c r="F934" s="13">
        <v>3.75</v>
      </c>
      <c r="G934" s="13">
        <v>13884</v>
      </c>
      <c r="H934" s="13" t="s">
        <v>9</v>
      </c>
    </row>
    <row r="935" spans="1:8" ht="15.75" customHeight="1" x14ac:dyDescent="0.25">
      <c r="A935" s="13">
        <v>506114</v>
      </c>
      <c r="B935" s="13">
        <v>82583</v>
      </c>
      <c r="C935" s="13" t="s">
        <v>913</v>
      </c>
      <c r="D935" s="13">
        <v>12</v>
      </c>
      <c r="E935" s="14">
        <v>40295.574999999997</v>
      </c>
      <c r="F935" s="13">
        <v>2.1</v>
      </c>
      <c r="G935" s="13">
        <v>13001</v>
      </c>
      <c r="H935" s="13" t="s">
        <v>9</v>
      </c>
    </row>
    <row r="936" spans="1:8" ht="15.75" customHeight="1" x14ac:dyDescent="0.25">
      <c r="A936" s="13">
        <v>531945</v>
      </c>
      <c r="B936" s="13" t="s">
        <v>153</v>
      </c>
      <c r="C936" s="13" t="s">
        <v>154</v>
      </c>
      <c r="D936" s="13">
        <v>12</v>
      </c>
      <c r="E936" s="14">
        <v>40492.511111111111</v>
      </c>
      <c r="F936" s="13">
        <v>2.95</v>
      </c>
      <c r="G936" s="13">
        <v>12997</v>
      </c>
      <c r="H936" s="13" t="s">
        <v>9</v>
      </c>
    </row>
    <row r="937" spans="1:8" ht="15.75" customHeight="1" x14ac:dyDescent="0.25">
      <c r="A937" s="13">
        <v>521822</v>
      </c>
      <c r="B937" s="13" t="s">
        <v>53</v>
      </c>
      <c r="C937" s="13" t="s">
        <v>54</v>
      </c>
      <c r="D937" s="13">
        <v>9</v>
      </c>
      <c r="E937" s="14">
        <v>40430.442361111112</v>
      </c>
      <c r="F937" s="13">
        <v>5.95</v>
      </c>
      <c r="G937" s="13">
        <v>12714</v>
      </c>
      <c r="H937" s="13" t="s">
        <v>28</v>
      </c>
    </row>
    <row r="938" spans="1:8" ht="15.75" customHeight="1" x14ac:dyDescent="0.25">
      <c r="A938" s="13">
        <v>509100</v>
      </c>
      <c r="B938" s="13">
        <v>20978</v>
      </c>
      <c r="C938" s="13" t="s">
        <v>914</v>
      </c>
      <c r="D938" s="13">
        <v>1</v>
      </c>
      <c r="E938" s="14">
        <v>40318.492361111108</v>
      </c>
      <c r="F938" s="13">
        <v>1.25</v>
      </c>
      <c r="G938" s="13">
        <v>17841</v>
      </c>
      <c r="H938" s="13" t="s">
        <v>9</v>
      </c>
    </row>
    <row r="939" spans="1:8" ht="15.75" customHeight="1" x14ac:dyDescent="0.25">
      <c r="A939" s="13">
        <v>493812</v>
      </c>
      <c r="B939" s="13" t="s">
        <v>915</v>
      </c>
      <c r="C939" s="13" t="s">
        <v>916</v>
      </c>
      <c r="D939" s="13">
        <v>24</v>
      </c>
      <c r="E939" s="14">
        <v>40185.494444444441</v>
      </c>
      <c r="F939" s="13">
        <v>0.42</v>
      </c>
      <c r="G939" s="13">
        <v>13081</v>
      </c>
      <c r="H939" s="13" t="s">
        <v>9</v>
      </c>
    </row>
    <row r="940" spans="1:8" ht="15.75" customHeight="1" x14ac:dyDescent="0.25">
      <c r="A940" s="13">
        <v>511772</v>
      </c>
      <c r="B940" s="13">
        <v>21670</v>
      </c>
      <c r="C940" s="13" t="s">
        <v>631</v>
      </c>
      <c r="D940" s="13">
        <v>12</v>
      </c>
      <c r="E940" s="14">
        <v>40339.509722222218</v>
      </c>
      <c r="F940" s="13">
        <v>1.25</v>
      </c>
      <c r="G940" s="13">
        <v>17491</v>
      </c>
      <c r="H940" s="13" t="s">
        <v>9</v>
      </c>
    </row>
    <row r="941" spans="1:8" ht="15.75" customHeight="1" x14ac:dyDescent="0.25">
      <c r="A941" s="13">
        <v>505380</v>
      </c>
      <c r="B941" s="13">
        <v>85042</v>
      </c>
      <c r="C941" s="13" t="s">
        <v>661</v>
      </c>
      <c r="D941" s="13">
        <v>8</v>
      </c>
      <c r="E941" s="14">
        <v>40290.35833333333</v>
      </c>
      <c r="F941" s="13">
        <v>4.95</v>
      </c>
      <c r="G941" s="13">
        <v>17675</v>
      </c>
      <c r="H941" s="13" t="s">
        <v>9</v>
      </c>
    </row>
    <row r="942" spans="1:8" ht="15.75" customHeight="1" x14ac:dyDescent="0.25">
      <c r="A942" s="13">
        <v>511174</v>
      </c>
      <c r="B942" s="13">
        <v>22078</v>
      </c>
      <c r="C942" s="13" t="s">
        <v>917</v>
      </c>
      <c r="D942" s="13" t="s">
        <v>59</v>
      </c>
      <c r="E942" s="14">
        <v>40336.505555555559</v>
      </c>
      <c r="F942" s="13">
        <v>2.1</v>
      </c>
      <c r="G942" s="13">
        <v>15249</v>
      </c>
      <c r="H942" s="13" t="s">
        <v>9</v>
      </c>
    </row>
    <row r="943" spans="1:8" ht="15.75" customHeight="1" x14ac:dyDescent="0.25">
      <c r="A943" s="13">
        <v>506246</v>
      </c>
      <c r="B943" s="13">
        <v>22090</v>
      </c>
      <c r="C943" s="13" t="s">
        <v>538</v>
      </c>
      <c r="D943" s="13">
        <v>6</v>
      </c>
      <c r="E943" s="14">
        <v>40296.557638888888</v>
      </c>
      <c r="F943" s="13">
        <v>2.95</v>
      </c>
      <c r="G943" s="13">
        <v>14194</v>
      </c>
      <c r="H943" s="13" t="s">
        <v>132</v>
      </c>
    </row>
    <row r="944" spans="1:8" ht="15.75" customHeight="1" x14ac:dyDescent="0.25">
      <c r="A944" s="13">
        <v>508996</v>
      </c>
      <c r="B944" s="13">
        <v>21363</v>
      </c>
      <c r="C944" s="13" t="s">
        <v>918</v>
      </c>
      <c r="D944" s="13">
        <v>6</v>
      </c>
      <c r="E944" s="14">
        <v>40317.536111111112</v>
      </c>
      <c r="F944" s="13">
        <v>4.95</v>
      </c>
      <c r="G944" s="13">
        <v>13982</v>
      </c>
      <c r="H944" s="13" t="s">
        <v>9</v>
      </c>
    </row>
    <row r="945" spans="1:8" ht="15.75" customHeight="1" x14ac:dyDescent="0.25">
      <c r="A945" s="13">
        <v>491178</v>
      </c>
      <c r="B945" s="13">
        <v>85152</v>
      </c>
      <c r="C945" s="13" t="s">
        <v>919</v>
      </c>
      <c r="D945" s="13">
        <v>5</v>
      </c>
      <c r="E945" s="14">
        <v>40157.496527777781</v>
      </c>
      <c r="F945" s="13">
        <v>2.1</v>
      </c>
      <c r="G945" s="13">
        <v>14099</v>
      </c>
      <c r="H945" s="13" t="s">
        <v>9</v>
      </c>
    </row>
    <row r="946" spans="1:8" ht="15.75" customHeight="1" x14ac:dyDescent="0.25">
      <c r="A946" s="13">
        <v>502608</v>
      </c>
      <c r="B946" s="13">
        <v>47566</v>
      </c>
      <c r="C946" s="13" t="s">
        <v>55</v>
      </c>
      <c r="D946" s="13">
        <v>15</v>
      </c>
      <c r="E946" s="14">
        <v>40262.578472222223</v>
      </c>
      <c r="F946" s="13">
        <v>4.6500000000000004</v>
      </c>
      <c r="G946" s="13">
        <v>13001</v>
      </c>
      <c r="H946" s="13" t="s">
        <v>9</v>
      </c>
    </row>
    <row r="947" spans="1:8" ht="15.75" customHeight="1" x14ac:dyDescent="0.25">
      <c r="A947" s="13">
        <v>528169</v>
      </c>
      <c r="B947" s="13">
        <v>22809</v>
      </c>
      <c r="C947" s="13" t="s">
        <v>920</v>
      </c>
      <c r="D947" s="13">
        <v>6</v>
      </c>
      <c r="E947" s="14">
        <v>40472.413194444453</v>
      </c>
      <c r="F947"/>
      <c r="G947" s="13">
        <v>13117</v>
      </c>
      <c r="H947" s="13" t="s">
        <v>9</v>
      </c>
    </row>
    <row r="948" spans="1:8" ht="15.75" customHeight="1" x14ac:dyDescent="0.25">
      <c r="A948" s="13">
        <v>513625</v>
      </c>
      <c r="B948" s="13">
        <v>84755</v>
      </c>
      <c r="C948" s="13" t="s">
        <v>921</v>
      </c>
      <c r="D948" s="13">
        <v>12</v>
      </c>
      <c r="E948" s="14">
        <v>40356.54791666667</v>
      </c>
      <c r="F948" s="13">
        <v>0.65</v>
      </c>
      <c r="G948" s="13">
        <v>14505</v>
      </c>
      <c r="H948" s="13" t="s">
        <v>9</v>
      </c>
    </row>
    <row r="949" spans="1:8" ht="15.75" customHeight="1" x14ac:dyDescent="0.25">
      <c r="A949" s="13">
        <v>530543</v>
      </c>
      <c r="B949" s="13">
        <v>22625</v>
      </c>
      <c r="C949" s="13" t="s">
        <v>423</v>
      </c>
      <c r="D949" s="13">
        <v>1</v>
      </c>
      <c r="E949" s="14">
        <v>40485.548611111109</v>
      </c>
      <c r="F949"/>
      <c r="G949" s="13">
        <v>15005</v>
      </c>
      <c r="H949" s="13" t="s">
        <v>9</v>
      </c>
    </row>
    <row r="950" spans="1:8" ht="15.75" customHeight="1" x14ac:dyDescent="0.25">
      <c r="A950" s="13">
        <v>518224</v>
      </c>
      <c r="B950" s="13">
        <v>21746</v>
      </c>
      <c r="C950" s="13" t="s">
        <v>922</v>
      </c>
      <c r="D950" s="13">
        <v>24</v>
      </c>
      <c r="E950" s="14">
        <v>40395.59097222222</v>
      </c>
      <c r="F950" s="13">
        <v>1.25</v>
      </c>
      <c r="G950" s="13">
        <v>15400</v>
      </c>
      <c r="H950" s="13" t="s">
        <v>9</v>
      </c>
    </row>
    <row r="951" spans="1:8" ht="15.75" customHeight="1" x14ac:dyDescent="0.25">
      <c r="A951" s="13">
        <v>516944</v>
      </c>
      <c r="B951" s="13">
        <v>22089</v>
      </c>
      <c r="C951" s="13" t="s">
        <v>923</v>
      </c>
      <c r="D951" s="13">
        <v>6</v>
      </c>
      <c r="E951" s="14">
        <v>40384.622916666667</v>
      </c>
      <c r="F951" s="13">
        <v>2.95</v>
      </c>
      <c r="G951" s="13">
        <v>15260</v>
      </c>
      <c r="H951" s="13" t="s">
        <v>9</v>
      </c>
    </row>
    <row r="952" spans="1:8" ht="15.75" customHeight="1" x14ac:dyDescent="0.25">
      <c r="A952" s="13">
        <v>528757</v>
      </c>
      <c r="B952" s="13">
        <v>82551</v>
      </c>
      <c r="C952" s="13" t="s">
        <v>662</v>
      </c>
      <c r="D952" s="13">
        <v>12</v>
      </c>
      <c r="E952" s="14">
        <v>40475.644444444442</v>
      </c>
      <c r="F952" s="13">
        <v>1.45</v>
      </c>
      <c r="G952" s="13">
        <v>12720</v>
      </c>
      <c r="H952" s="13" t="s">
        <v>17</v>
      </c>
    </row>
    <row r="953" spans="1:8" ht="15.75" customHeight="1" x14ac:dyDescent="0.25">
      <c r="A953" s="13">
        <v>533959</v>
      </c>
      <c r="B953" s="13">
        <v>20966</v>
      </c>
      <c r="C953" s="13" t="s">
        <v>329</v>
      </c>
      <c r="D953" s="13">
        <v>10</v>
      </c>
      <c r="E953" s="14">
        <v>40501.538888888892</v>
      </c>
      <c r="F953" s="13">
        <v>1.25</v>
      </c>
      <c r="G953" s="13">
        <v>12921</v>
      </c>
      <c r="H953" s="13" t="s">
        <v>9</v>
      </c>
    </row>
    <row r="954" spans="1:8" ht="15.75" customHeight="1" x14ac:dyDescent="0.25">
      <c r="A954" s="13">
        <v>510416</v>
      </c>
      <c r="B954" s="13" t="s">
        <v>924</v>
      </c>
      <c r="C954" s="13" t="s">
        <v>925</v>
      </c>
      <c r="D954" s="13">
        <v>4</v>
      </c>
      <c r="E954" s="14">
        <v>40328.472916666673</v>
      </c>
      <c r="F954" s="13">
        <v>4.6500000000000004</v>
      </c>
      <c r="G954" s="13">
        <v>13113</v>
      </c>
      <c r="H954" s="13" t="s">
        <v>9</v>
      </c>
    </row>
    <row r="955" spans="1:8" ht="15.75" customHeight="1" x14ac:dyDescent="0.25">
      <c r="A955" s="13">
        <v>510450</v>
      </c>
      <c r="B955" s="13">
        <v>22565</v>
      </c>
      <c r="C955" s="13" t="s">
        <v>926</v>
      </c>
      <c r="D955" s="13">
        <v>12</v>
      </c>
      <c r="E955" s="14">
        <v>40330.404166666667</v>
      </c>
      <c r="F955" s="13">
        <v>0.85</v>
      </c>
      <c r="G955" s="13">
        <v>14857</v>
      </c>
      <c r="H955" s="13" t="s">
        <v>9</v>
      </c>
    </row>
    <row r="956" spans="1:8" ht="15.75" customHeight="1" x14ac:dyDescent="0.25">
      <c r="A956" s="13">
        <v>520196</v>
      </c>
      <c r="B956" s="13">
        <v>21481</v>
      </c>
      <c r="C956" s="13" t="s">
        <v>927</v>
      </c>
      <c r="D956" s="13">
        <v>4</v>
      </c>
      <c r="E956" s="14">
        <v>40414.624305555553</v>
      </c>
      <c r="F956" s="13">
        <v>2.95</v>
      </c>
      <c r="G956" s="13">
        <v>16161</v>
      </c>
      <c r="H956" s="13" t="s">
        <v>9</v>
      </c>
    </row>
    <row r="957" spans="1:8" ht="15.75" customHeight="1" x14ac:dyDescent="0.25">
      <c r="A957" s="13">
        <v>492296</v>
      </c>
      <c r="B957" s="13">
        <v>84950</v>
      </c>
      <c r="C957" s="13" t="s">
        <v>413</v>
      </c>
      <c r="D957" s="13">
        <v>12</v>
      </c>
      <c r="E957" s="14">
        <v>40163.495138888888</v>
      </c>
      <c r="F957" s="13">
        <v>0.85</v>
      </c>
      <c r="G957" s="13">
        <v>14667</v>
      </c>
      <c r="H957" s="13" t="s">
        <v>9</v>
      </c>
    </row>
    <row r="958" spans="1:8" ht="15.75" customHeight="1" x14ac:dyDescent="0.25">
      <c r="A958" s="13">
        <v>524944</v>
      </c>
      <c r="B958" s="13">
        <v>21134</v>
      </c>
      <c r="C958" s="13" t="s">
        <v>928</v>
      </c>
      <c r="D958" s="13">
        <v>2</v>
      </c>
      <c r="E958" s="13" t="s">
        <v>929</v>
      </c>
      <c r="F958" s="13">
        <v>1.65</v>
      </c>
      <c r="G958" s="13">
        <v>15276</v>
      </c>
      <c r="H958" s="13" t="s">
        <v>9</v>
      </c>
    </row>
    <row r="959" spans="1:8" ht="15.75" customHeight="1" x14ac:dyDescent="0.25">
      <c r="A959" s="13">
        <v>501444</v>
      </c>
      <c r="B959" s="13">
        <v>22617</v>
      </c>
      <c r="C959" s="13" t="s">
        <v>174</v>
      </c>
      <c r="D959" s="13">
        <v>3</v>
      </c>
      <c r="E959" s="14">
        <v>40253.588888888888</v>
      </c>
      <c r="F959" s="13">
        <v>4.95</v>
      </c>
      <c r="G959" s="13">
        <v>17716</v>
      </c>
      <c r="H959" s="13" t="s">
        <v>9</v>
      </c>
    </row>
    <row r="960" spans="1:8" ht="15.75" customHeight="1" x14ac:dyDescent="0.25">
      <c r="A960" s="13">
        <v>502272</v>
      </c>
      <c r="B960" s="13">
        <v>21166</v>
      </c>
      <c r="C960" s="13" t="s">
        <v>930</v>
      </c>
      <c r="D960" s="13">
        <v>1</v>
      </c>
      <c r="E960" s="14">
        <v>40260.657638888893</v>
      </c>
      <c r="F960" s="13">
        <v>1.95</v>
      </c>
      <c r="G960" s="13">
        <v>14344</v>
      </c>
      <c r="H960" s="13" t="s">
        <v>9</v>
      </c>
    </row>
    <row r="961" spans="1:8" ht="15.75" customHeight="1" x14ac:dyDescent="0.25">
      <c r="A961" s="13">
        <v>503255</v>
      </c>
      <c r="B961" s="13">
        <v>48194</v>
      </c>
      <c r="C961" s="13" t="s">
        <v>931</v>
      </c>
      <c r="D961" s="13">
        <v>2</v>
      </c>
      <c r="E961" s="14">
        <v>40268.450694444437</v>
      </c>
      <c r="F961" s="13">
        <v>7.49</v>
      </c>
      <c r="G961" s="13">
        <v>13709</v>
      </c>
      <c r="H961" s="13" t="s">
        <v>9</v>
      </c>
    </row>
    <row r="962" spans="1:8" ht="15.75" customHeight="1" x14ac:dyDescent="0.25">
      <c r="A962" s="13">
        <v>489532</v>
      </c>
      <c r="B962" s="13">
        <v>84990</v>
      </c>
      <c r="C962" s="13" t="s">
        <v>932</v>
      </c>
      <c r="D962" s="13">
        <v>24</v>
      </c>
      <c r="E962" s="14">
        <v>40148.498611111107</v>
      </c>
      <c r="F962" s="13">
        <v>0.55000000000000004</v>
      </c>
      <c r="G962" s="13">
        <v>13394</v>
      </c>
      <c r="H962" s="13" t="s">
        <v>9</v>
      </c>
    </row>
    <row r="963" spans="1:8" ht="15.75" customHeight="1" x14ac:dyDescent="0.25">
      <c r="A963" s="13">
        <v>536063</v>
      </c>
      <c r="B963" s="13">
        <v>22114</v>
      </c>
      <c r="C963" s="13" t="s">
        <v>933</v>
      </c>
      <c r="D963" s="13">
        <v>4</v>
      </c>
      <c r="E963" s="14">
        <v>40512.444444444453</v>
      </c>
      <c r="F963" s="13">
        <v>3.95</v>
      </c>
      <c r="G963" s="13">
        <v>15796</v>
      </c>
      <c r="H963" s="13" t="s">
        <v>9</v>
      </c>
    </row>
    <row r="964" spans="1:8" ht="15.75" customHeight="1" x14ac:dyDescent="0.25">
      <c r="A964" s="13">
        <v>518947</v>
      </c>
      <c r="B964" s="13">
        <v>22627</v>
      </c>
      <c r="C964" s="13" t="s">
        <v>934</v>
      </c>
      <c r="D964" s="13">
        <v>2</v>
      </c>
      <c r="E964" s="14">
        <v>40402.625</v>
      </c>
      <c r="F964" s="13">
        <v>8.5</v>
      </c>
      <c r="G964" s="13">
        <v>15365</v>
      </c>
      <c r="H964" s="13" t="s">
        <v>9</v>
      </c>
    </row>
    <row r="965" spans="1:8" ht="15.75" customHeight="1" x14ac:dyDescent="0.25">
      <c r="A965" s="13">
        <v>533838</v>
      </c>
      <c r="B965" s="13">
        <v>22847</v>
      </c>
      <c r="C965" s="13" t="s">
        <v>507</v>
      </c>
      <c r="D965" s="13">
        <v>1</v>
      </c>
      <c r="E965" s="14">
        <v>40501.456250000003</v>
      </c>
      <c r="F965" s="13">
        <v>16.95</v>
      </c>
      <c r="G965" s="13">
        <v>13662</v>
      </c>
      <c r="H965" s="13" t="s">
        <v>9</v>
      </c>
    </row>
    <row r="966" spans="1:8" ht="15.75" customHeight="1" x14ac:dyDescent="0.25">
      <c r="A966" s="13">
        <v>507837</v>
      </c>
      <c r="B966" s="13">
        <v>21259</v>
      </c>
      <c r="C966" s="13" t="s">
        <v>905</v>
      </c>
      <c r="D966" s="13">
        <v>2</v>
      </c>
      <c r="E966" s="14">
        <v>40309.561805555553</v>
      </c>
      <c r="F966" s="13">
        <v>5.95</v>
      </c>
      <c r="G966" s="13">
        <v>15358</v>
      </c>
      <c r="H966" s="13" t="s">
        <v>9</v>
      </c>
    </row>
    <row r="967" spans="1:8" ht="15.75" customHeight="1" x14ac:dyDescent="0.25">
      <c r="A967" s="13">
        <v>502828</v>
      </c>
      <c r="B967" s="13">
        <v>21679</v>
      </c>
      <c r="C967" s="13" t="s">
        <v>935</v>
      </c>
      <c r="D967" s="13">
        <v>6</v>
      </c>
      <c r="E967" s="14">
        <v>40265.512499999997</v>
      </c>
      <c r="F967" s="13">
        <v>0.85</v>
      </c>
      <c r="G967" s="13">
        <v>16727</v>
      </c>
    </row>
    <row r="968" spans="1:8" ht="15.75" customHeight="1" x14ac:dyDescent="0.25">
      <c r="A968" s="13">
        <v>496335</v>
      </c>
      <c r="B968" s="13">
        <v>21832</v>
      </c>
      <c r="C968" s="13" t="s">
        <v>936</v>
      </c>
      <c r="D968" s="13">
        <v>12</v>
      </c>
      <c r="E968" s="14">
        <v>40209.612500000003</v>
      </c>
      <c r="F968" s="13">
        <v>1.65</v>
      </c>
      <c r="G968" s="13">
        <v>18212</v>
      </c>
      <c r="H968" s="13" t="s">
        <v>9</v>
      </c>
    </row>
    <row r="969" spans="1:8" ht="15.75" customHeight="1" x14ac:dyDescent="0.25">
      <c r="A969" s="13">
        <v>529589</v>
      </c>
      <c r="B969" s="13">
        <v>20724</v>
      </c>
      <c r="C969" s="13" t="s">
        <v>801</v>
      </c>
      <c r="D969" s="13">
        <v>10</v>
      </c>
      <c r="E969" s="13" t="s">
        <v>937</v>
      </c>
      <c r="F969" s="13">
        <v>0.85</v>
      </c>
      <c r="G969" s="13">
        <v>17323</v>
      </c>
      <c r="H969" s="13" t="s">
        <v>9</v>
      </c>
    </row>
    <row r="970" spans="1:8" ht="15.75" customHeight="1" x14ac:dyDescent="0.25">
      <c r="A970" s="13">
        <v>489866</v>
      </c>
      <c r="B970" s="13">
        <v>82578</v>
      </c>
      <c r="C970" s="13" t="s">
        <v>623</v>
      </c>
      <c r="D970" s="13">
        <v>2</v>
      </c>
      <c r="E970" s="14">
        <v>40149.62777777778</v>
      </c>
      <c r="F970" s="13">
        <v>0.55000000000000004</v>
      </c>
      <c r="G970" s="13">
        <v>16200</v>
      </c>
      <c r="H970" s="13" t="s">
        <v>9</v>
      </c>
    </row>
    <row r="971" spans="1:8" ht="15.75" customHeight="1" x14ac:dyDescent="0.25">
      <c r="A971" s="13">
        <v>537153</v>
      </c>
      <c r="B971" s="13">
        <v>21888</v>
      </c>
      <c r="C971" s="13" t="s">
        <v>149</v>
      </c>
      <c r="D971" s="13">
        <v>6</v>
      </c>
      <c r="E971" s="14">
        <v>40517.543749999997</v>
      </c>
      <c r="F971" s="13">
        <v>3.75</v>
      </c>
      <c r="G971" s="13">
        <v>16718</v>
      </c>
      <c r="H971" s="13" t="s">
        <v>9</v>
      </c>
    </row>
    <row r="972" spans="1:8" ht="15.75" customHeight="1" x14ac:dyDescent="0.25">
      <c r="A972" s="13">
        <v>504854</v>
      </c>
      <c r="B972" s="13">
        <v>21228</v>
      </c>
      <c r="C972" s="13" t="s">
        <v>938</v>
      </c>
      <c r="D972" s="13">
        <v>1</v>
      </c>
      <c r="E972" s="14">
        <v>40286.444444444453</v>
      </c>
      <c r="F972" s="13">
        <v>1.25</v>
      </c>
      <c r="G972" s="13">
        <v>16923</v>
      </c>
      <c r="H972" s="13" t="s">
        <v>9</v>
      </c>
    </row>
    <row r="973" spans="1:8" ht="15.75" customHeight="1" x14ac:dyDescent="0.25">
      <c r="A973" s="13">
        <v>522627</v>
      </c>
      <c r="B973" s="13">
        <v>22821</v>
      </c>
      <c r="C973" s="13" t="s">
        <v>939</v>
      </c>
      <c r="D973" s="13">
        <v>12</v>
      </c>
      <c r="E973" s="14">
        <v>40436.686111111107</v>
      </c>
      <c r="F973" s="13">
        <v>0.65</v>
      </c>
      <c r="G973" s="13">
        <v>15660</v>
      </c>
      <c r="H973" s="13" t="s">
        <v>9</v>
      </c>
    </row>
    <row r="974" spans="1:8" ht="15.75" customHeight="1" x14ac:dyDescent="0.25">
      <c r="A974" s="13">
        <v>502925</v>
      </c>
      <c r="B974" s="13">
        <v>20729</v>
      </c>
      <c r="C974" s="13" t="s">
        <v>940</v>
      </c>
      <c r="D974" s="13">
        <v>1</v>
      </c>
      <c r="E974" s="14">
        <v>40266.59652777778</v>
      </c>
      <c r="F974" s="13">
        <v>1.25</v>
      </c>
      <c r="G974" s="13">
        <v>17841</v>
      </c>
      <c r="H974" s="13" t="s">
        <v>9</v>
      </c>
    </row>
    <row r="975" spans="1:8" ht="15.75" customHeight="1" x14ac:dyDescent="0.25">
      <c r="A975" s="13">
        <v>504861</v>
      </c>
      <c r="B975" s="13">
        <v>21927</v>
      </c>
      <c r="C975" s="13" t="s">
        <v>941</v>
      </c>
      <c r="D975" s="13">
        <v>4</v>
      </c>
      <c r="E975" s="14">
        <v>40286.503472222219</v>
      </c>
      <c r="F975" s="13">
        <v>1.25</v>
      </c>
      <c r="G975" s="13">
        <v>14702</v>
      </c>
      <c r="H975" s="13" t="s">
        <v>9</v>
      </c>
    </row>
    <row r="976" spans="1:8" ht="15.75" customHeight="1" x14ac:dyDescent="0.25">
      <c r="A976" s="13">
        <v>526900</v>
      </c>
      <c r="B976" s="13">
        <v>22389</v>
      </c>
      <c r="C976" s="13" t="s">
        <v>942</v>
      </c>
      <c r="D976" s="13">
        <v>36</v>
      </c>
      <c r="E976" s="14">
        <v>40464.629861111112</v>
      </c>
      <c r="F976" s="13">
        <v>0.85</v>
      </c>
      <c r="G976" s="13">
        <v>16120</v>
      </c>
      <c r="H976" s="13" t="s">
        <v>9</v>
      </c>
    </row>
    <row r="977" spans="1:8" ht="15.75" customHeight="1" x14ac:dyDescent="0.25">
      <c r="A977" s="13">
        <v>496222</v>
      </c>
      <c r="B977" s="13">
        <v>84946</v>
      </c>
      <c r="C977" s="13" t="s">
        <v>24</v>
      </c>
      <c r="D977" s="13">
        <v>12</v>
      </c>
      <c r="E977" s="14">
        <v>40207.578472222223</v>
      </c>
      <c r="F977" s="13">
        <v>1.25</v>
      </c>
      <c r="G977" s="13">
        <v>13583</v>
      </c>
      <c r="H977" s="13" t="s">
        <v>9</v>
      </c>
    </row>
    <row r="978" spans="1:8" ht="15.75" customHeight="1" x14ac:dyDescent="0.25">
      <c r="A978" s="13">
        <v>499272</v>
      </c>
      <c r="B978" s="13">
        <v>22329</v>
      </c>
      <c r="C978" s="13" t="s">
        <v>621</v>
      </c>
      <c r="D978" s="13">
        <v>2</v>
      </c>
      <c r="E978" s="14">
        <v>40234.699999999997</v>
      </c>
      <c r="F978" s="13">
        <v>1.65</v>
      </c>
      <c r="G978" s="13">
        <v>17032</v>
      </c>
      <c r="H978" s="13" t="s">
        <v>9</v>
      </c>
    </row>
    <row r="979" spans="1:8" ht="15.75" customHeight="1" x14ac:dyDescent="0.25">
      <c r="A979" s="13">
        <v>536030</v>
      </c>
      <c r="B979" s="13">
        <v>22173</v>
      </c>
      <c r="C979" s="13" t="s">
        <v>311</v>
      </c>
      <c r="D979" s="13">
        <v>8</v>
      </c>
      <c r="E979" s="14">
        <v>40511.695138888892</v>
      </c>
      <c r="F979" s="13">
        <v>2.95</v>
      </c>
      <c r="G979" s="13">
        <v>15828</v>
      </c>
      <c r="H979" s="13" t="s">
        <v>9</v>
      </c>
    </row>
    <row r="980" spans="1:8" ht="15.75" customHeight="1" x14ac:dyDescent="0.25">
      <c r="A980" s="13">
        <v>510962</v>
      </c>
      <c r="B980" s="13">
        <v>21474</v>
      </c>
      <c r="C980" s="13" t="s">
        <v>943</v>
      </c>
      <c r="D980" s="13">
        <v>2</v>
      </c>
      <c r="E980" s="14">
        <v>40333.459722222222</v>
      </c>
      <c r="F980" s="13">
        <v>19.95</v>
      </c>
      <c r="G980" s="13">
        <v>15547</v>
      </c>
      <c r="H980" s="13" t="s">
        <v>9</v>
      </c>
    </row>
    <row r="981" spans="1:8" ht="15.75" customHeight="1" x14ac:dyDescent="0.25">
      <c r="A981" s="13">
        <v>521819</v>
      </c>
      <c r="B981" s="13">
        <v>21115</v>
      </c>
      <c r="C981" s="13" t="s">
        <v>793</v>
      </c>
      <c r="D981" s="13">
        <v>2</v>
      </c>
      <c r="E981" s="14">
        <v>40429.678472222222</v>
      </c>
      <c r="F981" s="13">
        <v>6.75</v>
      </c>
      <c r="G981" s="13">
        <v>13717</v>
      </c>
      <c r="H981" s="13" t="s">
        <v>9</v>
      </c>
    </row>
    <row r="982" spans="1:8" ht="15.75" customHeight="1" x14ac:dyDescent="0.25">
      <c r="A982" s="13">
        <v>530085</v>
      </c>
      <c r="B982" s="13">
        <v>22842</v>
      </c>
      <c r="C982" s="13" t="s">
        <v>944</v>
      </c>
      <c r="D982" s="13">
        <v>1</v>
      </c>
      <c r="E982" s="14">
        <v>40483.55972222222</v>
      </c>
      <c r="F982" s="13">
        <v>6.75</v>
      </c>
      <c r="G982" s="13">
        <v>17315</v>
      </c>
      <c r="H982" s="13" t="s">
        <v>9</v>
      </c>
    </row>
    <row r="983" spans="1:8" ht="15.75" customHeight="1" x14ac:dyDescent="0.25">
      <c r="A983" s="13">
        <v>496057</v>
      </c>
      <c r="B983" s="13">
        <v>21181</v>
      </c>
      <c r="C983" s="13" t="s">
        <v>429</v>
      </c>
      <c r="D983" s="13">
        <v>6</v>
      </c>
      <c r="E983" s="14">
        <v>40206.62777777778</v>
      </c>
      <c r="F983" s="13">
        <v>2.1</v>
      </c>
      <c r="G983" s="13">
        <v>16137</v>
      </c>
      <c r="H983" s="13" t="s">
        <v>9</v>
      </c>
    </row>
    <row r="984" spans="1:8" ht="15.75" customHeight="1" x14ac:dyDescent="0.25">
      <c r="A984" s="13">
        <v>496926</v>
      </c>
      <c r="B984" s="13">
        <v>84992</v>
      </c>
      <c r="C984" s="13" t="s">
        <v>945</v>
      </c>
      <c r="D984" s="13">
        <v>4</v>
      </c>
      <c r="E984" s="14">
        <v>40213.677777777782</v>
      </c>
      <c r="F984" s="13">
        <v>0.55000000000000004</v>
      </c>
      <c r="G984" s="13">
        <v>17965</v>
      </c>
      <c r="H984" s="13" t="s">
        <v>9</v>
      </c>
    </row>
    <row r="985" spans="1:8" ht="15.75" customHeight="1" x14ac:dyDescent="0.25">
      <c r="A985" s="13">
        <v>522110</v>
      </c>
      <c r="B985" s="13" t="s">
        <v>21</v>
      </c>
      <c r="C985" s="13" t="s">
        <v>22</v>
      </c>
      <c r="D985" s="13">
        <v>3</v>
      </c>
      <c r="E985" s="14">
        <v>40433.635416666657</v>
      </c>
      <c r="F985" s="13">
        <v>5.95</v>
      </c>
      <c r="G985" s="13">
        <v>13455</v>
      </c>
      <c r="H985" s="13" t="s">
        <v>9</v>
      </c>
    </row>
    <row r="986" spans="1:8" ht="15.75" customHeight="1" x14ac:dyDescent="0.25">
      <c r="A986" s="13">
        <v>527937</v>
      </c>
      <c r="B986" s="13">
        <v>22748</v>
      </c>
      <c r="C986" s="13" t="s">
        <v>946</v>
      </c>
      <c r="D986" s="13">
        <v>6</v>
      </c>
      <c r="E986" s="14">
        <v>40470.586805555547</v>
      </c>
      <c r="F986" s="13">
        <v>2.1</v>
      </c>
      <c r="G986" s="13">
        <v>12594</v>
      </c>
      <c r="H986" s="13" t="s">
        <v>106</v>
      </c>
    </row>
    <row r="987" spans="1:8" ht="15.75" customHeight="1" x14ac:dyDescent="0.25">
      <c r="A987" s="13">
        <v>525694</v>
      </c>
      <c r="B987" s="13">
        <v>22711</v>
      </c>
      <c r="C987" s="13" t="s">
        <v>565</v>
      </c>
      <c r="D987" s="13">
        <v>25</v>
      </c>
      <c r="E987" s="14">
        <v>40457.520833333343</v>
      </c>
      <c r="F987" s="13">
        <v>0.42</v>
      </c>
      <c r="G987" s="13">
        <v>17429</v>
      </c>
      <c r="H987" s="13" t="s">
        <v>9</v>
      </c>
    </row>
    <row r="988" spans="1:8" ht="15.75" customHeight="1" x14ac:dyDescent="0.25">
      <c r="A988" s="13">
        <v>502337</v>
      </c>
      <c r="B988" s="13">
        <v>22447</v>
      </c>
      <c r="C988" s="13" t="s">
        <v>947</v>
      </c>
      <c r="D988" s="13">
        <v>1</v>
      </c>
      <c r="E988" s="14">
        <v>40261.447916666657</v>
      </c>
      <c r="F988" s="13">
        <v>3.35</v>
      </c>
      <c r="G988" s="13">
        <v>17377</v>
      </c>
      <c r="H988" s="13" t="s">
        <v>9</v>
      </c>
    </row>
    <row r="989" spans="1:8" ht="15.75" customHeight="1" x14ac:dyDescent="0.25">
      <c r="A989" s="13">
        <v>492374</v>
      </c>
      <c r="B989" s="13">
        <v>22297</v>
      </c>
      <c r="C989" s="13" t="s">
        <v>581</v>
      </c>
      <c r="D989" s="13">
        <v>48</v>
      </c>
      <c r="E989" s="14">
        <v>40163.611805555563</v>
      </c>
      <c r="F989" s="13">
        <v>1.25</v>
      </c>
      <c r="G989" s="13">
        <v>15984</v>
      </c>
      <c r="H989" s="13" t="s">
        <v>9</v>
      </c>
    </row>
    <row r="990" spans="1:8" ht="15.75" customHeight="1" x14ac:dyDescent="0.25">
      <c r="A990" s="13">
        <v>517070</v>
      </c>
      <c r="B990" s="13">
        <v>22087</v>
      </c>
      <c r="C990" s="13" t="s">
        <v>948</v>
      </c>
      <c r="D990" s="13">
        <v>12</v>
      </c>
      <c r="E990" s="14">
        <v>40385.581250000003</v>
      </c>
      <c r="F990" s="13">
        <v>2.95</v>
      </c>
      <c r="G990" s="13">
        <v>14257</v>
      </c>
      <c r="H990" s="13" t="s">
        <v>9</v>
      </c>
    </row>
    <row r="991" spans="1:8" ht="15.75" customHeight="1" x14ac:dyDescent="0.25">
      <c r="A991" s="13">
        <v>534786</v>
      </c>
      <c r="B991" s="13">
        <v>22111</v>
      </c>
      <c r="C991" s="13" t="s">
        <v>178</v>
      </c>
      <c r="D991" s="13">
        <v>3</v>
      </c>
      <c r="E991" s="14">
        <v>40506.472916666673</v>
      </c>
      <c r="F991" s="13">
        <v>4.95</v>
      </c>
      <c r="G991" s="13">
        <v>15854</v>
      </c>
      <c r="H991" s="13" t="s">
        <v>9</v>
      </c>
    </row>
    <row r="992" spans="1:8" ht="15.75" customHeight="1" x14ac:dyDescent="0.25">
      <c r="A992" s="13">
        <v>506433</v>
      </c>
      <c r="B992" s="13" t="s">
        <v>751</v>
      </c>
      <c r="C992" s="13" t="s">
        <v>752</v>
      </c>
      <c r="D992" s="13">
        <v>6</v>
      </c>
      <c r="E992" s="13" t="s">
        <v>949</v>
      </c>
      <c r="F992" s="13">
        <v>3.75</v>
      </c>
      <c r="G992" s="13">
        <v>18141</v>
      </c>
      <c r="H992" s="13" t="s">
        <v>9</v>
      </c>
    </row>
    <row r="993" spans="1:8" ht="15.75" customHeight="1" x14ac:dyDescent="0.25">
      <c r="A993" s="13">
        <v>535366</v>
      </c>
      <c r="B993" s="13">
        <v>21191</v>
      </c>
      <c r="C993" s="13" t="s">
        <v>950</v>
      </c>
      <c r="D993" s="13">
        <v>6</v>
      </c>
      <c r="E993" s="14">
        <v>40507.737500000003</v>
      </c>
      <c r="F993" s="13">
        <v>2.1</v>
      </c>
      <c r="G993" s="13">
        <v>14264</v>
      </c>
      <c r="H993" s="13" t="s">
        <v>9</v>
      </c>
    </row>
    <row r="994" spans="1:8" ht="15.75" customHeight="1" x14ac:dyDescent="0.25">
      <c r="A994" s="13">
        <v>503436</v>
      </c>
      <c r="B994" s="13">
        <v>20665</v>
      </c>
      <c r="C994" s="13" t="s">
        <v>951</v>
      </c>
      <c r="D994" s="13">
        <v>6</v>
      </c>
      <c r="E994" s="14">
        <v>40269.409722222219</v>
      </c>
      <c r="F994"/>
      <c r="G994" s="13">
        <v>12662</v>
      </c>
      <c r="H994" s="13" t="s">
        <v>17</v>
      </c>
    </row>
    <row r="995" spans="1:8" ht="15.75" customHeight="1" x14ac:dyDescent="0.25">
      <c r="A995" s="13">
        <v>516744</v>
      </c>
      <c r="B995" s="13">
        <v>22128</v>
      </c>
      <c r="C995" s="13" t="s">
        <v>952</v>
      </c>
      <c r="D995" s="13">
        <v>24</v>
      </c>
      <c r="E995" s="14">
        <v>40381.602083333331</v>
      </c>
      <c r="F995" s="13">
        <v>1.25</v>
      </c>
      <c r="G995" s="13">
        <v>14236</v>
      </c>
      <c r="H995" s="13" t="s">
        <v>9</v>
      </c>
    </row>
    <row r="996" spans="1:8" ht="15.75" customHeight="1" x14ac:dyDescent="0.25">
      <c r="A996" s="13">
        <v>490466</v>
      </c>
      <c r="B996" s="13">
        <v>72122</v>
      </c>
      <c r="C996" s="13" t="s">
        <v>953</v>
      </c>
      <c r="D996" s="13">
        <v>4</v>
      </c>
      <c r="E996" s="14">
        <v>40153.511111111111</v>
      </c>
      <c r="F996" s="13">
        <v>0.95</v>
      </c>
      <c r="G996" s="13">
        <v>17085</v>
      </c>
      <c r="H996" s="13" t="s">
        <v>9</v>
      </c>
    </row>
    <row r="997" spans="1:8" ht="15.75" customHeight="1" x14ac:dyDescent="0.25">
      <c r="A997" s="13">
        <v>527935</v>
      </c>
      <c r="B997" s="13">
        <v>22625</v>
      </c>
      <c r="C997" s="13" t="s">
        <v>954</v>
      </c>
      <c r="D997" s="13">
        <v>1</v>
      </c>
      <c r="E997" s="14">
        <v>40470.568055555559</v>
      </c>
      <c r="F997" s="13">
        <v>8.5</v>
      </c>
      <c r="G997" s="13">
        <v>16719</v>
      </c>
      <c r="H997" s="13" t="s">
        <v>9</v>
      </c>
    </row>
    <row r="998" spans="1:8" ht="15.75" customHeight="1" x14ac:dyDescent="0.25">
      <c r="A998" s="13">
        <v>504904</v>
      </c>
      <c r="B998" s="13">
        <v>21926</v>
      </c>
      <c r="C998" s="13" t="s">
        <v>955</v>
      </c>
      <c r="D998" s="13">
        <v>2</v>
      </c>
      <c r="E998" s="14">
        <v>40286.661805555559</v>
      </c>
      <c r="F998" s="13">
        <v>1.25</v>
      </c>
      <c r="G998" s="13">
        <v>18069</v>
      </c>
      <c r="H998" s="13" t="s">
        <v>9</v>
      </c>
    </row>
    <row r="999" spans="1:8" ht="15.75" customHeight="1" x14ac:dyDescent="0.25">
      <c r="A999" s="13">
        <v>511853</v>
      </c>
      <c r="B999" s="13">
        <v>22073</v>
      </c>
      <c r="C999" s="13" t="s">
        <v>956</v>
      </c>
      <c r="D999" s="13">
        <v>8</v>
      </c>
      <c r="E999" s="14">
        <v>40340.338888888888</v>
      </c>
      <c r="F999" s="13">
        <v>3.39</v>
      </c>
      <c r="G999" s="13">
        <v>14298</v>
      </c>
      <c r="H999" s="13" t="s">
        <v>9</v>
      </c>
    </row>
    <row r="1000" spans="1:8" ht="15.75" customHeight="1" x14ac:dyDescent="0.25">
      <c r="A1000" s="13">
        <v>522644</v>
      </c>
      <c r="B1000" s="13">
        <v>22583</v>
      </c>
      <c r="C1000" s="13" t="s">
        <v>303</v>
      </c>
      <c r="D1000" s="13">
        <v>1</v>
      </c>
      <c r="E1000" s="14">
        <v>40437.446527777778</v>
      </c>
      <c r="F1000" s="13">
        <v>2.5499999999999998</v>
      </c>
      <c r="G1000" s="13">
        <v>15723</v>
      </c>
      <c r="H1000" s="13" t="s">
        <v>9</v>
      </c>
    </row>
    <row r="1001" spans="1:8" ht="15.75" customHeight="1" x14ac:dyDescent="0.25">
      <c r="A1001" s="13">
        <v>514661</v>
      </c>
      <c r="B1001" s="13">
        <v>21741</v>
      </c>
      <c r="C1001" s="13" t="s">
        <v>299</v>
      </c>
      <c r="D1001" s="13">
        <v>4</v>
      </c>
      <c r="E1001" s="14">
        <v>40364.534722222219</v>
      </c>
      <c r="F1001" s="13">
        <v>2.95</v>
      </c>
      <c r="G1001" s="13">
        <v>14701</v>
      </c>
      <c r="H1001" s="13" t="s">
        <v>9</v>
      </c>
    </row>
    <row r="1002" spans="1:8" ht="15.75" customHeight="1" x14ac:dyDescent="0.25">
      <c r="A1002" s="13">
        <v>507419</v>
      </c>
      <c r="B1002" s="13">
        <v>21204</v>
      </c>
      <c r="C1002" s="13" t="s">
        <v>957</v>
      </c>
      <c r="D1002" s="13">
        <v>12</v>
      </c>
      <c r="E1002" s="13" t="s">
        <v>958</v>
      </c>
      <c r="F1002" s="13">
        <v>1.65</v>
      </c>
      <c r="G1002" s="13">
        <v>14129</v>
      </c>
      <c r="H1002" s="13" t="s">
        <v>9</v>
      </c>
    </row>
    <row r="1003" spans="1:8" ht="15.75" customHeight="1" x14ac:dyDescent="0.25">
      <c r="A1003" s="13">
        <v>525714</v>
      </c>
      <c r="B1003" s="13">
        <v>21929</v>
      </c>
      <c r="C1003" s="13" t="s">
        <v>458</v>
      </c>
      <c r="D1003" s="13">
        <v>100</v>
      </c>
      <c r="E1003" s="14">
        <v>40457.599999999999</v>
      </c>
      <c r="F1003" s="13">
        <v>1.65</v>
      </c>
      <c r="G1003" s="13">
        <v>13629</v>
      </c>
      <c r="H1003" s="13" t="s">
        <v>9</v>
      </c>
    </row>
    <row r="1004" spans="1:8" ht="15.75" customHeight="1" x14ac:dyDescent="0.25">
      <c r="A1004" s="13">
        <v>496551</v>
      </c>
      <c r="B1004" s="13">
        <v>21437</v>
      </c>
      <c r="C1004" s="13" t="s">
        <v>959</v>
      </c>
      <c r="D1004" s="13">
        <v>1</v>
      </c>
      <c r="E1004" s="14">
        <v>40211.550694444442</v>
      </c>
      <c r="F1004" s="13">
        <v>3.75</v>
      </c>
      <c r="G1004" s="13">
        <v>13975</v>
      </c>
      <c r="H1004" s="13" t="s">
        <v>9</v>
      </c>
    </row>
    <row r="1005" spans="1:8" ht="15.75" customHeight="1" x14ac:dyDescent="0.25">
      <c r="A1005" s="13">
        <v>514823</v>
      </c>
      <c r="B1005" s="13">
        <v>21906</v>
      </c>
      <c r="C1005" s="13" t="s">
        <v>960</v>
      </c>
      <c r="D1005" s="13">
        <v>2</v>
      </c>
      <c r="E1005" s="14">
        <v>40365.513194444437</v>
      </c>
      <c r="F1005" s="13">
        <v>6.75</v>
      </c>
      <c r="G1005" s="13">
        <v>12730</v>
      </c>
      <c r="H1005" s="13" t="s">
        <v>17</v>
      </c>
    </row>
    <row r="1006" spans="1:8" ht="15.75" customHeight="1" x14ac:dyDescent="0.25">
      <c r="A1006" s="13">
        <v>489814</v>
      </c>
      <c r="B1006" s="13">
        <v>84270</v>
      </c>
      <c r="C1006" s="13" t="s">
        <v>961</v>
      </c>
      <c r="D1006" s="13">
        <v>30</v>
      </c>
      <c r="E1006" s="14">
        <v>40149.54583333333</v>
      </c>
      <c r="F1006" s="13">
        <v>0.21</v>
      </c>
      <c r="G1006" s="13">
        <v>14669</v>
      </c>
      <c r="H1006" s="13" t="s">
        <v>9</v>
      </c>
    </row>
    <row r="1007" spans="1:8" ht="15.75" customHeight="1" x14ac:dyDescent="0.25">
      <c r="A1007" s="13">
        <v>522739</v>
      </c>
      <c r="B1007" s="13">
        <v>22210</v>
      </c>
      <c r="C1007" s="13" t="s">
        <v>962</v>
      </c>
      <c r="D1007" s="13">
        <v>1</v>
      </c>
      <c r="E1007" s="14">
        <v>40437.54583333333</v>
      </c>
      <c r="F1007" s="13">
        <v>1.65</v>
      </c>
      <c r="G1007" s="13">
        <v>14963</v>
      </c>
      <c r="H1007" s="13" t="s">
        <v>9</v>
      </c>
    </row>
    <row r="1008" spans="1:8" ht="15.75" customHeight="1" x14ac:dyDescent="0.25">
      <c r="A1008" s="13" t="s">
        <v>963</v>
      </c>
      <c r="B1008" s="13">
        <v>20893</v>
      </c>
      <c r="C1008" s="13" t="s">
        <v>964</v>
      </c>
      <c r="D1008" s="13">
        <v>-72</v>
      </c>
      <c r="E1008" s="14">
        <v>40386.552777777782</v>
      </c>
      <c r="F1008" s="13">
        <v>2.1</v>
      </c>
      <c r="G1008" s="13">
        <v>17408</v>
      </c>
      <c r="H1008" s="13" t="s">
        <v>9</v>
      </c>
    </row>
    <row r="1009" spans="1:8" ht="15.75" customHeight="1" x14ac:dyDescent="0.25">
      <c r="A1009" s="13">
        <v>512608</v>
      </c>
      <c r="B1009" s="13" t="s">
        <v>965</v>
      </c>
      <c r="C1009" s="13" t="s">
        <v>966</v>
      </c>
      <c r="D1009" s="13">
        <v>24</v>
      </c>
      <c r="E1009" s="14">
        <v>40346.413888888892</v>
      </c>
      <c r="F1009" s="13">
        <v>0.85</v>
      </c>
      <c r="G1009" s="13">
        <v>13488</v>
      </c>
      <c r="H1009" s="13" t="s">
        <v>9</v>
      </c>
    </row>
    <row r="1010" spans="1:8" ht="15.75" customHeight="1" x14ac:dyDescent="0.25">
      <c r="A1010" s="13">
        <v>494915</v>
      </c>
      <c r="B1010" s="13">
        <v>21122</v>
      </c>
      <c r="C1010" s="13" t="s">
        <v>967</v>
      </c>
      <c r="D1010" s="13">
        <v>3</v>
      </c>
      <c r="E1010" s="14">
        <v>40197.716666666667</v>
      </c>
      <c r="F1010" s="13">
        <v>1.25</v>
      </c>
      <c r="G1010" s="13">
        <v>13564</v>
      </c>
      <c r="H1010" s="13" t="s">
        <v>9</v>
      </c>
    </row>
    <row r="1011" spans="1:8" ht="15.75" customHeight="1" x14ac:dyDescent="0.25">
      <c r="A1011" s="13">
        <v>513952</v>
      </c>
      <c r="B1011" s="13" t="s">
        <v>968</v>
      </c>
      <c r="C1011" s="13" t="s">
        <v>969</v>
      </c>
      <c r="D1011" s="13">
        <v>6</v>
      </c>
      <c r="E1011" s="14">
        <v>40358.59097222222</v>
      </c>
      <c r="F1011" s="13">
        <v>0.55000000000000004</v>
      </c>
      <c r="G1011" s="13">
        <v>14049</v>
      </c>
      <c r="H1011" s="13" t="s">
        <v>9</v>
      </c>
    </row>
    <row r="1012" spans="1:8" ht="15.75" customHeight="1" x14ac:dyDescent="0.25">
      <c r="A1012" s="13">
        <v>503834</v>
      </c>
      <c r="B1012" s="13">
        <v>22530</v>
      </c>
      <c r="C1012" s="13" t="s">
        <v>970</v>
      </c>
      <c r="D1012" s="13">
        <v>384</v>
      </c>
      <c r="E1012" s="14">
        <v>40275.675694444442</v>
      </c>
      <c r="F1012" s="13">
        <v>0.36</v>
      </c>
      <c r="G1012" s="13">
        <v>12482</v>
      </c>
      <c r="H1012" s="13" t="s">
        <v>519</v>
      </c>
    </row>
    <row r="1013" spans="1:8" ht="15.75" customHeight="1" x14ac:dyDescent="0.25">
      <c r="A1013" s="13">
        <v>533469</v>
      </c>
      <c r="B1013" s="13">
        <v>22457</v>
      </c>
      <c r="C1013" s="13" t="s">
        <v>390</v>
      </c>
      <c r="D1013" s="13">
        <v>4</v>
      </c>
      <c r="E1013" s="13" t="s">
        <v>971</v>
      </c>
      <c r="F1013" s="13">
        <v>2.95</v>
      </c>
      <c r="G1013" s="13">
        <v>16016</v>
      </c>
      <c r="H1013" s="13" t="s">
        <v>9</v>
      </c>
    </row>
    <row r="1014" spans="1:8" ht="15.75" customHeight="1" x14ac:dyDescent="0.25">
      <c r="A1014" s="13">
        <v>525317</v>
      </c>
      <c r="B1014" s="13" t="s">
        <v>972</v>
      </c>
      <c r="C1014" s="13" t="s">
        <v>973</v>
      </c>
      <c r="D1014" s="13">
        <v>3</v>
      </c>
      <c r="E1014" s="14">
        <v>40456.470138888893</v>
      </c>
      <c r="F1014" s="13">
        <v>3.75</v>
      </c>
      <c r="G1014" s="13">
        <v>15311</v>
      </c>
      <c r="H1014" s="13" t="s">
        <v>9</v>
      </c>
    </row>
    <row r="1015" spans="1:8" ht="15.75" customHeight="1" x14ac:dyDescent="0.25">
      <c r="A1015" s="13">
        <v>537671</v>
      </c>
      <c r="B1015" s="13">
        <v>22728</v>
      </c>
      <c r="C1015"/>
      <c r="D1015" s="13">
        <v>4</v>
      </c>
      <c r="E1015" s="14">
        <v>40520.388888888891</v>
      </c>
      <c r="F1015" s="13">
        <v>3.75</v>
      </c>
      <c r="G1015" s="13">
        <v>13267</v>
      </c>
      <c r="H1015" s="13" t="s">
        <v>9</v>
      </c>
    </row>
    <row r="1016" spans="1:8" ht="15.75" customHeight="1" x14ac:dyDescent="0.25">
      <c r="A1016" s="13">
        <v>509031</v>
      </c>
      <c r="B1016" s="13">
        <v>21563</v>
      </c>
      <c r="C1016" s="13" t="s">
        <v>70</v>
      </c>
      <c r="D1016" s="13">
        <v>2</v>
      </c>
      <c r="E1016" s="14">
        <v>40317.6875</v>
      </c>
      <c r="F1016" s="13">
        <v>2.95</v>
      </c>
      <c r="G1016" s="13">
        <v>17950</v>
      </c>
      <c r="H1016" s="13" t="s">
        <v>9</v>
      </c>
    </row>
    <row r="1017" spans="1:8" ht="15.75" customHeight="1" x14ac:dyDescent="0.25">
      <c r="A1017" s="13">
        <v>534786</v>
      </c>
      <c r="B1017" s="13">
        <v>22111</v>
      </c>
      <c r="C1017" s="13" t="s">
        <v>178</v>
      </c>
      <c r="D1017" s="13">
        <v>3</v>
      </c>
      <c r="E1017" s="14">
        <v>40506.472916666673</v>
      </c>
      <c r="F1017" s="13">
        <v>4.95</v>
      </c>
      <c r="G1017" s="13">
        <v>15854</v>
      </c>
      <c r="H1017" s="13" t="s">
        <v>9</v>
      </c>
    </row>
    <row r="1018" spans="1:8" ht="15.75" customHeight="1" x14ac:dyDescent="0.25">
      <c r="A1018" s="13">
        <v>497217</v>
      </c>
      <c r="B1018" s="13">
        <v>21398</v>
      </c>
      <c r="C1018" s="13" t="s">
        <v>974</v>
      </c>
      <c r="D1018" s="13">
        <v>96</v>
      </c>
      <c r="E1018" s="14">
        <v>40216.602083333331</v>
      </c>
      <c r="F1018" s="13">
        <v>1.75</v>
      </c>
      <c r="G1018"/>
      <c r="H1018" s="13" t="s">
        <v>11</v>
      </c>
    </row>
    <row r="1019" spans="1:8" ht="15.75" customHeight="1" x14ac:dyDescent="0.25">
      <c r="A1019" s="13">
        <v>503824</v>
      </c>
      <c r="B1019" s="13">
        <v>22177</v>
      </c>
      <c r="C1019" s="13" t="s">
        <v>975</v>
      </c>
      <c r="D1019" s="13">
        <v>1</v>
      </c>
      <c r="E1019" s="14">
        <v>40275.626388888893</v>
      </c>
      <c r="F1019" s="13">
        <v>9.9499999999999993</v>
      </c>
      <c r="G1019" s="13">
        <v>13593</v>
      </c>
      <c r="H1019" s="13" t="s">
        <v>9</v>
      </c>
    </row>
    <row r="1020" spans="1:8" ht="15.75" customHeight="1" x14ac:dyDescent="0.25">
      <c r="A1020" s="13">
        <v>489998</v>
      </c>
      <c r="B1020" s="13">
        <v>21693</v>
      </c>
      <c r="C1020" s="13" t="s">
        <v>976</v>
      </c>
      <c r="D1020" s="13">
        <v>6</v>
      </c>
      <c r="E1020" s="14">
        <v>40150.47152777778</v>
      </c>
      <c r="F1020" s="13">
        <v>2.95</v>
      </c>
      <c r="G1020" s="13">
        <v>15658</v>
      </c>
      <c r="H1020" s="13" t="s">
        <v>9</v>
      </c>
    </row>
    <row r="1021" spans="1:8" ht="15.75" customHeight="1" x14ac:dyDescent="0.25">
      <c r="A1021" s="13">
        <v>524305</v>
      </c>
      <c r="B1021" s="13">
        <v>11001</v>
      </c>
      <c r="C1021" s="13" t="s">
        <v>977</v>
      </c>
      <c r="D1021" s="13">
        <v>16</v>
      </c>
      <c r="E1021" s="14">
        <v>40449.569444444453</v>
      </c>
      <c r="F1021" s="13">
        <v>1.69</v>
      </c>
      <c r="G1021" s="13">
        <v>14988</v>
      </c>
      <c r="H1021" s="13" t="s">
        <v>9</v>
      </c>
    </row>
  </sheetData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4"/>
  <sheetViews>
    <sheetView workbookViewId="0">
      <selection activeCell="C10" sqref="C10"/>
    </sheetView>
  </sheetViews>
  <sheetFormatPr defaultRowHeight="15" x14ac:dyDescent="0.25"/>
  <cols>
    <col min="1" max="1" width="9.5703125" customWidth="1"/>
    <col min="2" max="2" width="16" customWidth="1"/>
    <col min="3" max="3" width="36.7109375" style="24" customWidth="1"/>
    <col min="4" max="4" width="14" customWidth="1"/>
    <col min="5" max="5" width="17.7109375" style="29" customWidth="1"/>
    <col min="6" max="6" width="10.28515625" customWidth="1"/>
    <col min="7" max="7" width="14" customWidth="1"/>
    <col min="8" max="8" width="21.28515625" customWidth="1"/>
    <col min="9" max="9" width="12.140625" customWidth="1"/>
  </cols>
  <sheetData>
    <row r="1" spans="1:9" x14ac:dyDescent="0.25">
      <c r="A1" s="16" t="s">
        <v>0</v>
      </c>
      <c r="B1" s="17" t="s">
        <v>1</v>
      </c>
      <c r="C1" s="21" t="s">
        <v>2</v>
      </c>
      <c r="D1" s="18" t="s">
        <v>3</v>
      </c>
      <c r="E1" s="25" t="s">
        <v>4</v>
      </c>
      <c r="F1" s="19" t="s">
        <v>5</v>
      </c>
      <c r="G1" s="20" t="s">
        <v>6</v>
      </c>
      <c r="H1" s="17" t="s">
        <v>7</v>
      </c>
      <c r="I1" s="32" t="s">
        <v>983</v>
      </c>
    </row>
    <row r="2" spans="1:9" x14ac:dyDescent="0.25">
      <c r="A2" s="9">
        <v>528386</v>
      </c>
      <c r="B2" s="2">
        <v>22318</v>
      </c>
      <c r="C2" s="22" t="s">
        <v>10</v>
      </c>
      <c r="D2" s="6">
        <v>6</v>
      </c>
      <c r="E2" s="26">
        <v>40472.772222222222</v>
      </c>
      <c r="F2" s="11">
        <v>2.95</v>
      </c>
      <c r="G2" s="9">
        <v>14911</v>
      </c>
      <c r="H2" s="1" t="s">
        <v>978</v>
      </c>
      <c r="I2" s="3">
        <f t="shared" ref="I2:I65" si="0">(D2 *F2)</f>
        <v>17.700000000000003</v>
      </c>
    </row>
    <row r="3" spans="1:9" x14ac:dyDescent="0.25">
      <c r="A3" s="9">
        <v>498594</v>
      </c>
      <c r="B3" s="2">
        <v>21173</v>
      </c>
      <c r="C3" s="22" t="s">
        <v>12</v>
      </c>
      <c r="D3" s="6">
        <v>1</v>
      </c>
      <c r="E3" s="26">
        <v>40230.658333333333</v>
      </c>
      <c r="F3" s="11">
        <v>1.65</v>
      </c>
      <c r="G3" s="9">
        <v>16797</v>
      </c>
      <c r="H3" s="1" t="s">
        <v>9</v>
      </c>
      <c r="I3" s="3">
        <f t="shared" si="0"/>
        <v>1.65</v>
      </c>
    </row>
    <row r="4" spans="1:9" x14ac:dyDescent="0.25">
      <c r="A4" s="9">
        <v>503245</v>
      </c>
      <c r="B4" s="2" t="s">
        <v>13</v>
      </c>
      <c r="C4" s="22" t="s">
        <v>14</v>
      </c>
      <c r="D4" s="6">
        <v>2</v>
      </c>
      <c r="E4" s="26">
        <v>40268.411111111112</v>
      </c>
      <c r="F4" s="11">
        <v>7.95</v>
      </c>
      <c r="G4" s="9">
        <v>15216</v>
      </c>
      <c r="H4" s="1" t="s">
        <v>9</v>
      </c>
      <c r="I4" s="3">
        <f t="shared" si="0"/>
        <v>15.9</v>
      </c>
    </row>
    <row r="5" spans="1:9" x14ac:dyDescent="0.25">
      <c r="A5" s="9">
        <v>505756</v>
      </c>
      <c r="B5" s="2">
        <v>84836</v>
      </c>
      <c r="C5" s="22" t="s">
        <v>15</v>
      </c>
      <c r="D5" s="6">
        <v>12</v>
      </c>
      <c r="E5" s="26">
        <v>40294.408333333333</v>
      </c>
      <c r="F5" s="11">
        <v>1.25</v>
      </c>
      <c r="G5" s="9">
        <v>14677</v>
      </c>
      <c r="H5" s="1" t="s">
        <v>9</v>
      </c>
      <c r="I5" s="3">
        <f t="shared" si="0"/>
        <v>15</v>
      </c>
    </row>
    <row r="6" spans="1:9" x14ac:dyDescent="0.25">
      <c r="A6" s="9">
        <v>496975</v>
      </c>
      <c r="B6" s="2">
        <v>21559</v>
      </c>
      <c r="C6" s="22" t="s">
        <v>16</v>
      </c>
      <c r="D6" s="6">
        <v>6</v>
      </c>
      <c r="E6" s="26">
        <v>40214.384722222218</v>
      </c>
      <c r="F6" s="11">
        <v>2.5499999999999998</v>
      </c>
      <c r="G6" s="9">
        <v>12712</v>
      </c>
      <c r="H6" s="1" t="s">
        <v>17</v>
      </c>
      <c r="I6" s="3">
        <f t="shared" si="0"/>
        <v>15.299999999999999</v>
      </c>
    </row>
    <row r="7" spans="1:9" x14ac:dyDescent="0.25">
      <c r="A7" s="9">
        <v>491584</v>
      </c>
      <c r="B7" s="2">
        <v>85107</v>
      </c>
      <c r="C7" s="22" t="s">
        <v>18</v>
      </c>
      <c r="D7" s="6">
        <v>12</v>
      </c>
      <c r="E7" s="26">
        <v>40158.538194444453</v>
      </c>
      <c r="F7" s="11">
        <v>2.5499999999999998</v>
      </c>
      <c r="G7" s="9">
        <v>12854</v>
      </c>
      <c r="H7" s="1" t="s">
        <v>9</v>
      </c>
      <c r="I7" s="3">
        <f t="shared" si="0"/>
        <v>30.599999999999998</v>
      </c>
    </row>
    <row r="8" spans="1:9" x14ac:dyDescent="0.25">
      <c r="A8" s="9">
        <v>516478</v>
      </c>
      <c r="B8" s="2">
        <v>22575</v>
      </c>
      <c r="C8" s="22" t="s">
        <v>19</v>
      </c>
      <c r="D8" s="6">
        <v>1</v>
      </c>
      <c r="E8" s="26">
        <v>40379.722222222219</v>
      </c>
      <c r="F8" s="11">
        <v>1.95</v>
      </c>
      <c r="G8" s="9">
        <v>17576</v>
      </c>
      <c r="H8" s="1" t="s">
        <v>9</v>
      </c>
      <c r="I8" s="3">
        <f t="shared" si="0"/>
        <v>1.95</v>
      </c>
    </row>
    <row r="9" spans="1:9" x14ac:dyDescent="0.25">
      <c r="A9" s="9">
        <v>502588</v>
      </c>
      <c r="B9" s="2">
        <v>22083</v>
      </c>
      <c r="C9" s="22" t="s">
        <v>20</v>
      </c>
      <c r="D9" s="6">
        <v>2</v>
      </c>
      <c r="E9" s="26">
        <v>40262.529861111107</v>
      </c>
      <c r="F9" s="11">
        <v>2.95</v>
      </c>
      <c r="G9" s="9">
        <v>16550</v>
      </c>
      <c r="H9" s="1" t="s">
        <v>9</v>
      </c>
      <c r="I9" s="3">
        <f t="shared" si="0"/>
        <v>5.9</v>
      </c>
    </row>
    <row r="10" spans="1:9" x14ac:dyDescent="0.25">
      <c r="A10" s="9">
        <v>515335</v>
      </c>
      <c r="B10" s="2" t="s">
        <v>21</v>
      </c>
      <c r="C10" s="22" t="s">
        <v>22</v>
      </c>
      <c r="D10" s="6">
        <v>1</v>
      </c>
      <c r="E10" s="26">
        <v>40370.59652777778</v>
      </c>
      <c r="F10" s="11">
        <v>5.95</v>
      </c>
      <c r="G10" s="9">
        <v>14606</v>
      </c>
      <c r="H10" s="1" t="s">
        <v>9</v>
      </c>
      <c r="I10" s="3">
        <f t="shared" si="0"/>
        <v>5.95</v>
      </c>
    </row>
    <row r="11" spans="1:9" x14ac:dyDescent="0.25">
      <c r="A11" s="9">
        <v>525065</v>
      </c>
      <c r="B11" s="2">
        <v>21156</v>
      </c>
      <c r="C11" s="22" t="s">
        <v>23</v>
      </c>
      <c r="D11" s="6">
        <v>1</v>
      </c>
      <c r="E11" s="26">
        <v>40454.602777777778</v>
      </c>
      <c r="F11" s="11">
        <v>1.95</v>
      </c>
      <c r="G11" s="9">
        <v>16799</v>
      </c>
      <c r="H11" s="1" t="s">
        <v>9</v>
      </c>
      <c r="I11" s="3">
        <f t="shared" si="0"/>
        <v>1.95</v>
      </c>
    </row>
    <row r="12" spans="1:9" x14ac:dyDescent="0.25">
      <c r="A12" s="9">
        <v>535349</v>
      </c>
      <c r="B12" s="2">
        <v>84946</v>
      </c>
      <c r="C12" s="22" t="s">
        <v>24</v>
      </c>
      <c r="D12" s="6">
        <v>24</v>
      </c>
      <c r="E12" s="26">
        <v>40507.702777777777</v>
      </c>
      <c r="F12" s="11">
        <v>1.25</v>
      </c>
      <c r="G12" s="9">
        <v>18245</v>
      </c>
      <c r="H12" s="1" t="s">
        <v>9</v>
      </c>
      <c r="I12" s="3">
        <f t="shared" si="0"/>
        <v>30</v>
      </c>
    </row>
    <row r="13" spans="1:9" x14ac:dyDescent="0.25">
      <c r="A13" s="9">
        <v>521949</v>
      </c>
      <c r="B13" s="2">
        <v>82484</v>
      </c>
      <c r="C13" s="22" t="s">
        <v>25</v>
      </c>
      <c r="D13" s="6">
        <v>3</v>
      </c>
      <c r="E13" s="26">
        <v>40430.719444444447</v>
      </c>
      <c r="F13" s="11">
        <v>6.45</v>
      </c>
      <c r="G13" s="9">
        <v>15150</v>
      </c>
      <c r="H13" s="1" t="s">
        <v>9</v>
      </c>
      <c r="I13" s="3">
        <f t="shared" si="0"/>
        <v>19.350000000000001</v>
      </c>
    </row>
    <row r="14" spans="1:9" x14ac:dyDescent="0.25">
      <c r="A14" s="9">
        <v>514876</v>
      </c>
      <c r="B14" s="2">
        <v>22519</v>
      </c>
      <c r="C14" s="22" t="s">
        <v>26</v>
      </c>
      <c r="D14" s="6">
        <v>36</v>
      </c>
      <c r="E14" s="26">
        <v>40366.439583333333</v>
      </c>
      <c r="F14" s="11">
        <v>1.85</v>
      </c>
      <c r="G14" s="9">
        <v>17511</v>
      </c>
      <c r="H14" s="1" t="s">
        <v>9</v>
      </c>
      <c r="I14" s="3">
        <f t="shared" si="0"/>
        <v>66.600000000000009</v>
      </c>
    </row>
    <row r="15" spans="1:9" x14ac:dyDescent="0.25">
      <c r="A15" s="9">
        <v>521162</v>
      </c>
      <c r="B15" s="2">
        <v>22561</v>
      </c>
      <c r="C15" s="22" t="s">
        <v>27</v>
      </c>
      <c r="D15" s="6">
        <v>12</v>
      </c>
      <c r="E15" s="26">
        <v>40423.598611111112</v>
      </c>
      <c r="F15" s="11">
        <v>1.65</v>
      </c>
      <c r="G15" s="9">
        <v>12598</v>
      </c>
      <c r="H15" s="1" t="s">
        <v>28</v>
      </c>
      <c r="I15" s="3">
        <f t="shared" si="0"/>
        <v>19.799999999999997</v>
      </c>
    </row>
    <row r="16" spans="1:9" x14ac:dyDescent="0.25">
      <c r="A16" s="9">
        <v>506572</v>
      </c>
      <c r="B16" s="2">
        <v>20798</v>
      </c>
      <c r="C16" s="22" t="s">
        <v>29</v>
      </c>
      <c r="D16" s="6">
        <v>4</v>
      </c>
      <c r="E16" s="26">
        <v>40298.548611111109</v>
      </c>
      <c r="F16" s="11">
        <v>2.1</v>
      </c>
      <c r="G16" s="9">
        <v>16374</v>
      </c>
      <c r="H16" s="1" t="s">
        <v>9</v>
      </c>
      <c r="I16" s="3">
        <f t="shared" si="0"/>
        <v>8.4</v>
      </c>
    </row>
    <row r="17" spans="1:9" x14ac:dyDescent="0.25">
      <c r="A17" s="9">
        <v>505974</v>
      </c>
      <c r="B17" s="2">
        <v>48188</v>
      </c>
      <c r="C17" s="22" t="s">
        <v>30</v>
      </c>
      <c r="D17" s="6">
        <v>1</v>
      </c>
      <c r="E17" s="26">
        <v>40294.754166666673</v>
      </c>
      <c r="F17" s="11">
        <v>7.49</v>
      </c>
      <c r="G17" s="9">
        <v>17449</v>
      </c>
      <c r="H17" s="1" t="s">
        <v>9</v>
      </c>
      <c r="I17" s="3">
        <f t="shared" si="0"/>
        <v>7.49</v>
      </c>
    </row>
    <row r="18" spans="1:9" x14ac:dyDescent="0.25">
      <c r="A18" s="9">
        <v>491622</v>
      </c>
      <c r="B18" s="2">
        <v>10125</v>
      </c>
      <c r="C18" s="22" t="s">
        <v>31</v>
      </c>
      <c r="D18" s="6">
        <v>1</v>
      </c>
      <c r="E18" s="26">
        <v>40158.597222222219</v>
      </c>
      <c r="F18" s="11">
        <v>0.85</v>
      </c>
      <c r="G18" s="9">
        <v>13415</v>
      </c>
      <c r="H18" s="1" t="s">
        <v>32</v>
      </c>
      <c r="I18" s="3">
        <f t="shared" si="0"/>
        <v>0.85</v>
      </c>
    </row>
    <row r="19" spans="1:9" x14ac:dyDescent="0.25">
      <c r="A19" s="9">
        <v>509982</v>
      </c>
      <c r="B19" s="3">
        <v>21696</v>
      </c>
      <c r="C19" s="22" t="s">
        <v>33</v>
      </c>
      <c r="D19" s="6">
        <v>6</v>
      </c>
      <c r="E19" s="26">
        <v>40324.602777777778</v>
      </c>
      <c r="F19" s="11">
        <v>2.95</v>
      </c>
      <c r="G19" s="9">
        <v>12924</v>
      </c>
      <c r="H19" s="1" t="s">
        <v>9</v>
      </c>
      <c r="I19" s="3">
        <f t="shared" si="0"/>
        <v>17.700000000000003</v>
      </c>
    </row>
    <row r="20" spans="1:9" ht="15.75" customHeight="1" x14ac:dyDescent="0.25">
      <c r="A20" s="9">
        <v>524611</v>
      </c>
      <c r="B20" s="2" t="s">
        <v>34</v>
      </c>
      <c r="C20" s="22" t="s">
        <v>35</v>
      </c>
      <c r="D20" s="6">
        <v>6</v>
      </c>
      <c r="E20" s="26">
        <v>40451.400694444441</v>
      </c>
      <c r="F20" s="11">
        <v>1.65</v>
      </c>
      <c r="G20" s="9">
        <v>13078</v>
      </c>
      <c r="H20" s="1" t="s">
        <v>9</v>
      </c>
      <c r="I20" s="3">
        <f t="shared" si="0"/>
        <v>9.8999999999999986</v>
      </c>
    </row>
    <row r="21" spans="1:9" ht="15.75" customHeight="1" x14ac:dyDescent="0.25">
      <c r="A21" s="9">
        <v>501906</v>
      </c>
      <c r="B21" s="2">
        <v>22413</v>
      </c>
      <c r="C21" s="22" t="s">
        <v>36</v>
      </c>
      <c r="D21" s="6">
        <v>12</v>
      </c>
      <c r="E21" s="26">
        <v>40258.668055555558</v>
      </c>
      <c r="F21" s="11">
        <v>2.95</v>
      </c>
      <c r="G21" s="9">
        <v>17340</v>
      </c>
      <c r="H21" s="1" t="s">
        <v>9</v>
      </c>
      <c r="I21" s="3">
        <f t="shared" si="0"/>
        <v>35.400000000000006</v>
      </c>
    </row>
    <row r="22" spans="1:9" ht="15.75" customHeight="1" x14ac:dyDescent="0.25">
      <c r="A22" s="9">
        <v>505708</v>
      </c>
      <c r="B22" s="2">
        <v>20979</v>
      </c>
      <c r="C22" s="22" t="s">
        <v>37</v>
      </c>
      <c r="D22" s="6">
        <v>1</v>
      </c>
      <c r="E22" s="26">
        <v>40293.510416666657</v>
      </c>
      <c r="F22" s="11">
        <v>1.25</v>
      </c>
      <c r="G22" s="9">
        <v>13782</v>
      </c>
      <c r="H22" s="1" t="s">
        <v>9</v>
      </c>
      <c r="I22" s="3">
        <f t="shared" si="0"/>
        <v>1.25</v>
      </c>
    </row>
    <row r="23" spans="1:9" ht="15.75" customHeight="1" x14ac:dyDescent="0.25">
      <c r="A23" s="9">
        <v>497935</v>
      </c>
      <c r="B23" s="2" t="s">
        <v>38</v>
      </c>
      <c r="C23" s="22" t="s">
        <v>39</v>
      </c>
      <c r="D23" s="6">
        <v>24</v>
      </c>
      <c r="E23" s="26">
        <v>40224.449305555558</v>
      </c>
      <c r="F23" s="11">
        <v>5.45</v>
      </c>
      <c r="G23" s="9">
        <v>13408</v>
      </c>
      <c r="H23" s="1" t="s">
        <v>9</v>
      </c>
      <c r="I23" s="3">
        <f t="shared" si="0"/>
        <v>130.80000000000001</v>
      </c>
    </row>
    <row r="24" spans="1:9" ht="15.75" customHeight="1" x14ac:dyDescent="0.25">
      <c r="A24" s="9">
        <v>502792</v>
      </c>
      <c r="B24" s="2" t="s">
        <v>40</v>
      </c>
      <c r="C24" s="22" t="s">
        <v>41</v>
      </c>
      <c r="D24" s="6">
        <v>6</v>
      </c>
      <c r="E24" s="26">
        <v>40263.630555555559</v>
      </c>
      <c r="F24" s="11">
        <v>2.95</v>
      </c>
      <c r="G24" s="9">
        <v>14253</v>
      </c>
      <c r="H24" s="1" t="s">
        <v>9</v>
      </c>
      <c r="I24" s="3">
        <f t="shared" si="0"/>
        <v>17.700000000000003</v>
      </c>
    </row>
    <row r="25" spans="1:9" ht="15.75" customHeight="1" x14ac:dyDescent="0.25">
      <c r="A25" s="9" t="s">
        <v>44</v>
      </c>
      <c r="B25" s="2" t="s">
        <v>45</v>
      </c>
      <c r="C25" s="22" t="s">
        <v>46</v>
      </c>
      <c r="D25" s="6">
        <v>1</v>
      </c>
      <c r="E25" s="26">
        <v>40438.53125</v>
      </c>
      <c r="F25" s="11">
        <v>2.12</v>
      </c>
      <c r="G25" s="9">
        <v>17765</v>
      </c>
      <c r="H25" s="1" t="s">
        <v>9</v>
      </c>
      <c r="I25" s="3">
        <f t="shared" si="0"/>
        <v>2.12</v>
      </c>
    </row>
    <row r="26" spans="1:9" ht="15.75" customHeight="1" x14ac:dyDescent="0.25">
      <c r="A26" s="9">
        <v>537810</v>
      </c>
      <c r="B26" s="2">
        <v>22415</v>
      </c>
      <c r="C26" s="22" t="s">
        <v>47</v>
      </c>
      <c r="D26" s="6">
        <v>3</v>
      </c>
      <c r="E26" s="27">
        <v>40402.5625</v>
      </c>
      <c r="F26" s="11">
        <v>7.95</v>
      </c>
      <c r="G26" s="9">
        <v>15032</v>
      </c>
      <c r="H26" s="1" t="s">
        <v>9</v>
      </c>
      <c r="I26" s="3">
        <f t="shared" si="0"/>
        <v>23.85</v>
      </c>
    </row>
    <row r="27" spans="1:9" ht="15.75" customHeight="1" x14ac:dyDescent="0.25">
      <c r="A27" s="9">
        <v>520505</v>
      </c>
      <c r="B27" s="2">
        <v>21258</v>
      </c>
      <c r="C27" s="22" t="s">
        <v>49</v>
      </c>
      <c r="D27" s="6">
        <v>1</v>
      </c>
      <c r="E27" s="26">
        <v>40416.535416666673</v>
      </c>
      <c r="F27" s="11">
        <v>12.75</v>
      </c>
      <c r="G27" s="9">
        <v>17663</v>
      </c>
      <c r="H27" s="1" t="s">
        <v>9</v>
      </c>
      <c r="I27" s="3">
        <f t="shared" si="0"/>
        <v>12.75</v>
      </c>
    </row>
    <row r="28" spans="1:9" ht="15.75" customHeight="1" x14ac:dyDescent="0.25">
      <c r="A28" s="9" t="s">
        <v>50</v>
      </c>
      <c r="B28" s="2">
        <v>21122</v>
      </c>
      <c r="C28" s="22" t="s">
        <v>51</v>
      </c>
      <c r="D28" s="6">
        <v>24</v>
      </c>
      <c r="E28" s="26">
        <v>40497.718055555553</v>
      </c>
      <c r="F28" s="11">
        <v>1.25</v>
      </c>
      <c r="G28" s="9">
        <v>17284</v>
      </c>
      <c r="H28" s="1" t="s">
        <v>9</v>
      </c>
      <c r="I28" s="3">
        <f t="shared" si="0"/>
        <v>30</v>
      </c>
    </row>
    <row r="29" spans="1:9" ht="15.75" customHeight="1" x14ac:dyDescent="0.25">
      <c r="A29" s="9">
        <v>523971</v>
      </c>
      <c r="B29" s="2">
        <v>21009</v>
      </c>
      <c r="C29" s="22" t="s">
        <v>52</v>
      </c>
      <c r="D29" s="6">
        <v>6</v>
      </c>
      <c r="E29" s="26">
        <v>40447.578472222223</v>
      </c>
      <c r="F29" s="11">
        <v>1.25</v>
      </c>
      <c r="G29" s="9">
        <v>15967</v>
      </c>
      <c r="H29" s="1" t="s">
        <v>9</v>
      </c>
      <c r="I29" s="3">
        <f t="shared" si="0"/>
        <v>7.5</v>
      </c>
    </row>
    <row r="30" spans="1:9" ht="15.75" customHeight="1" x14ac:dyDescent="0.25">
      <c r="A30" s="9">
        <v>499625</v>
      </c>
      <c r="B30" s="2" t="s">
        <v>53</v>
      </c>
      <c r="C30" s="22" t="s">
        <v>54</v>
      </c>
      <c r="D30" s="6">
        <v>2</v>
      </c>
      <c r="E30" s="26">
        <v>40238.551388888889</v>
      </c>
      <c r="F30" s="11">
        <v>5.95</v>
      </c>
      <c r="G30" s="9">
        <v>17965</v>
      </c>
      <c r="H30" s="1" t="s">
        <v>9</v>
      </c>
      <c r="I30" s="3">
        <f t="shared" si="0"/>
        <v>11.9</v>
      </c>
    </row>
    <row r="31" spans="1:9" ht="15.75" customHeight="1" x14ac:dyDescent="0.25">
      <c r="A31" s="9">
        <v>500147</v>
      </c>
      <c r="B31" s="2">
        <v>47566</v>
      </c>
      <c r="C31" s="22" t="s">
        <v>55</v>
      </c>
      <c r="D31" s="6">
        <v>8</v>
      </c>
      <c r="E31" s="26">
        <v>40241.723611111112</v>
      </c>
      <c r="F31" s="11">
        <v>4.6500000000000004</v>
      </c>
      <c r="G31" s="9">
        <v>15812</v>
      </c>
      <c r="H31" s="1" t="s">
        <v>9</v>
      </c>
      <c r="I31" s="3">
        <f t="shared" si="0"/>
        <v>37.200000000000003</v>
      </c>
    </row>
    <row r="32" spans="1:9" ht="15.75" customHeight="1" x14ac:dyDescent="0.25">
      <c r="A32" s="9">
        <v>537421</v>
      </c>
      <c r="B32" s="2">
        <v>22569</v>
      </c>
      <c r="C32" s="22" t="s">
        <v>56</v>
      </c>
      <c r="D32" s="6">
        <v>2</v>
      </c>
      <c r="E32" s="26">
        <v>40518.642361111109</v>
      </c>
      <c r="F32" s="11">
        <v>3.75</v>
      </c>
      <c r="G32" s="9">
        <v>17218</v>
      </c>
      <c r="H32" s="1" t="s">
        <v>9</v>
      </c>
      <c r="I32" s="3">
        <f t="shared" si="0"/>
        <v>7.5</v>
      </c>
    </row>
    <row r="33" spans="1:9" ht="15.75" customHeight="1" x14ac:dyDescent="0.25">
      <c r="A33" s="9">
        <v>534526</v>
      </c>
      <c r="B33" s="2">
        <v>21930</v>
      </c>
      <c r="C33" s="22" t="s">
        <v>58</v>
      </c>
      <c r="D33" s="6" t="s">
        <v>59</v>
      </c>
      <c r="E33" s="26">
        <v>40505.50277777778</v>
      </c>
      <c r="F33" s="11">
        <v>1.95</v>
      </c>
      <c r="G33" s="9">
        <v>15384</v>
      </c>
      <c r="H33" s="1" t="s">
        <v>9</v>
      </c>
      <c r="I33" s="3">
        <f t="shared" si="0"/>
        <v>19.5</v>
      </c>
    </row>
    <row r="34" spans="1:9" ht="15.75" customHeight="1" x14ac:dyDescent="0.25">
      <c r="A34" s="9">
        <v>503164</v>
      </c>
      <c r="B34" s="2">
        <v>22556</v>
      </c>
      <c r="C34" s="22" t="s">
        <v>60</v>
      </c>
      <c r="D34" s="6">
        <v>1</v>
      </c>
      <c r="E34" s="26">
        <v>40267.552083333343</v>
      </c>
      <c r="F34" s="11">
        <v>1.65</v>
      </c>
      <c r="G34" s="9">
        <v>17464</v>
      </c>
      <c r="H34" s="1" t="s">
        <v>9</v>
      </c>
      <c r="I34" s="3">
        <f t="shared" si="0"/>
        <v>1.65</v>
      </c>
    </row>
    <row r="35" spans="1:9" ht="15.75" customHeight="1" x14ac:dyDescent="0.25">
      <c r="A35" s="9">
        <v>528618</v>
      </c>
      <c r="B35" s="2">
        <v>21499</v>
      </c>
      <c r="C35" s="22" t="s">
        <v>61</v>
      </c>
      <c r="D35" s="6">
        <v>25</v>
      </c>
      <c r="E35" s="26">
        <v>40473.713194444441</v>
      </c>
      <c r="F35" s="11">
        <v>0.42</v>
      </c>
      <c r="G35" s="9">
        <v>13263</v>
      </c>
      <c r="H35" s="1" t="s">
        <v>9</v>
      </c>
      <c r="I35" s="3">
        <f t="shared" si="0"/>
        <v>10.5</v>
      </c>
    </row>
    <row r="36" spans="1:9" ht="15.75" customHeight="1" x14ac:dyDescent="0.25">
      <c r="A36" s="9">
        <v>505015</v>
      </c>
      <c r="B36" s="2">
        <v>22196</v>
      </c>
      <c r="C36" s="22" t="s">
        <v>62</v>
      </c>
      <c r="D36" s="6">
        <v>12</v>
      </c>
      <c r="E36" s="26">
        <v>40287.5625</v>
      </c>
      <c r="F36" s="11">
        <v>0.85</v>
      </c>
      <c r="G36" s="9">
        <v>14156</v>
      </c>
      <c r="H36" s="1" t="s">
        <v>978</v>
      </c>
      <c r="I36" s="3">
        <f t="shared" si="0"/>
        <v>10.199999999999999</v>
      </c>
    </row>
    <row r="37" spans="1:9" ht="15.75" customHeight="1" x14ac:dyDescent="0.25">
      <c r="A37" s="9">
        <v>497272</v>
      </c>
      <c r="B37" s="2" t="s">
        <v>63</v>
      </c>
      <c r="C37" s="22" t="s">
        <v>64</v>
      </c>
      <c r="D37" s="6">
        <v>10</v>
      </c>
      <c r="E37" s="26">
        <v>40217.576388888891</v>
      </c>
      <c r="F37" s="11">
        <v>1.25</v>
      </c>
      <c r="G37" s="9">
        <v>17160</v>
      </c>
      <c r="H37" s="1" t="s">
        <v>9</v>
      </c>
      <c r="I37" s="3">
        <f t="shared" si="0"/>
        <v>12.5</v>
      </c>
    </row>
    <row r="38" spans="1:9" ht="15.75" customHeight="1" x14ac:dyDescent="0.25">
      <c r="A38" s="9">
        <v>518480</v>
      </c>
      <c r="B38" s="2">
        <v>21890</v>
      </c>
      <c r="C38" s="22" t="s">
        <v>65</v>
      </c>
      <c r="D38" s="6">
        <v>2</v>
      </c>
      <c r="E38" s="26">
        <v>40399.51458333333</v>
      </c>
      <c r="F38" s="11">
        <v>2.95</v>
      </c>
      <c r="G38" s="9">
        <v>16470</v>
      </c>
      <c r="H38" s="1" t="s">
        <v>9</v>
      </c>
      <c r="I38" s="3">
        <f t="shared" si="0"/>
        <v>5.9</v>
      </c>
    </row>
    <row r="39" spans="1:9" ht="15.75" customHeight="1" x14ac:dyDescent="0.25">
      <c r="A39" s="9">
        <v>508593</v>
      </c>
      <c r="B39" s="2">
        <v>21900</v>
      </c>
      <c r="C39" s="22" t="s">
        <v>66</v>
      </c>
      <c r="D39" s="6">
        <v>24</v>
      </c>
      <c r="E39" s="26">
        <v>40315.504166666673</v>
      </c>
      <c r="F39" s="11">
        <v>0.65</v>
      </c>
      <c r="G39" s="9">
        <v>13488</v>
      </c>
      <c r="H39" s="1" t="s">
        <v>9</v>
      </c>
      <c r="I39" s="3">
        <f t="shared" si="0"/>
        <v>15.600000000000001</v>
      </c>
    </row>
    <row r="40" spans="1:9" ht="15.75" customHeight="1" x14ac:dyDescent="0.25">
      <c r="A40" s="9">
        <v>505615</v>
      </c>
      <c r="B40" s="2">
        <v>20712</v>
      </c>
      <c r="C40" s="22" t="s">
        <v>67</v>
      </c>
      <c r="D40" s="6">
        <v>10</v>
      </c>
      <c r="E40" s="26">
        <v>40291.53402777778</v>
      </c>
      <c r="F40" s="11" t="s">
        <v>68</v>
      </c>
      <c r="G40" s="9">
        <v>15288</v>
      </c>
      <c r="H40" s="1" t="s">
        <v>9</v>
      </c>
      <c r="I40" s="3">
        <f t="shared" si="0"/>
        <v>19.5</v>
      </c>
    </row>
    <row r="41" spans="1:9" ht="15.75" customHeight="1" x14ac:dyDescent="0.25">
      <c r="A41" s="9">
        <v>530538</v>
      </c>
      <c r="B41" s="2">
        <v>21563</v>
      </c>
      <c r="C41" s="22" t="s">
        <v>70</v>
      </c>
      <c r="D41" s="6">
        <v>2</v>
      </c>
      <c r="E41" s="26">
        <v>40485.538194444453</v>
      </c>
      <c r="F41" s="11">
        <v>2.95</v>
      </c>
      <c r="G41" s="9">
        <v>14606</v>
      </c>
      <c r="H41" s="1" t="s">
        <v>9</v>
      </c>
      <c r="I41" s="3">
        <f t="shared" si="0"/>
        <v>5.9</v>
      </c>
    </row>
    <row r="42" spans="1:9" ht="15.75" customHeight="1" x14ac:dyDescent="0.25">
      <c r="A42" s="9">
        <v>493706</v>
      </c>
      <c r="B42" s="2">
        <v>84832</v>
      </c>
      <c r="C42" s="22" t="s">
        <v>71</v>
      </c>
      <c r="D42" s="6">
        <v>14</v>
      </c>
      <c r="E42" s="26">
        <v>40183.605555555558</v>
      </c>
      <c r="F42" s="11">
        <v>0.85</v>
      </c>
      <c r="G42" s="9">
        <v>15768</v>
      </c>
      <c r="H42" s="1" t="s">
        <v>9</v>
      </c>
      <c r="I42" s="3">
        <f t="shared" si="0"/>
        <v>11.9</v>
      </c>
    </row>
    <row r="43" spans="1:9" ht="15.75" customHeight="1" x14ac:dyDescent="0.25">
      <c r="A43" s="9">
        <v>490823</v>
      </c>
      <c r="B43" s="2">
        <v>21847</v>
      </c>
      <c r="C43" s="22" t="s">
        <v>72</v>
      </c>
      <c r="D43" s="6">
        <v>24</v>
      </c>
      <c r="E43" s="26">
        <v>40155.523611111108</v>
      </c>
      <c r="F43" s="11">
        <v>1.25</v>
      </c>
      <c r="G43" s="9">
        <v>14841</v>
      </c>
      <c r="H43" s="1" t="s">
        <v>9</v>
      </c>
      <c r="I43" s="3">
        <f t="shared" si="0"/>
        <v>30</v>
      </c>
    </row>
    <row r="44" spans="1:9" ht="15.75" customHeight="1" x14ac:dyDescent="0.25">
      <c r="A44" s="9">
        <v>506091</v>
      </c>
      <c r="B44" s="2">
        <v>21651</v>
      </c>
      <c r="C44" s="22" t="s">
        <v>73</v>
      </c>
      <c r="D44" s="6">
        <v>6</v>
      </c>
      <c r="E44" s="26">
        <v>40295.508333333331</v>
      </c>
      <c r="F44" s="11">
        <v>1.65</v>
      </c>
      <c r="G44" s="9">
        <v>15402</v>
      </c>
      <c r="H44" s="1" t="s">
        <v>9</v>
      </c>
      <c r="I44" s="3">
        <f t="shared" si="0"/>
        <v>9.8999999999999986</v>
      </c>
    </row>
    <row r="45" spans="1:9" ht="15.75" customHeight="1" x14ac:dyDescent="0.25">
      <c r="A45" s="9">
        <v>494866</v>
      </c>
      <c r="B45" s="2">
        <v>22052</v>
      </c>
      <c r="C45" s="22" t="s">
        <v>74</v>
      </c>
      <c r="D45" s="6">
        <v>25</v>
      </c>
      <c r="E45" s="26">
        <v>40197.472222222219</v>
      </c>
      <c r="F45" s="11">
        <v>0.42</v>
      </c>
      <c r="G45" s="9">
        <v>16253</v>
      </c>
      <c r="H45" s="1" t="s">
        <v>9</v>
      </c>
      <c r="I45" s="3">
        <f t="shared" si="0"/>
        <v>10.5</v>
      </c>
    </row>
    <row r="46" spans="1:9" ht="15.75" customHeight="1" x14ac:dyDescent="0.25">
      <c r="A46" s="9">
        <v>498923</v>
      </c>
      <c r="B46" s="2">
        <v>84978</v>
      </c>
      <c r="C46" s="22" t="s">
        <v>75</v>
      </c>
      <c r="D46" s="6">
        <v>12</v>
      </c>
      <c r="E46" s="26">
        <v>40233.409722222219</v>
      </c>
      <c r="F46" s="11">
        <v>1.25</v>
      </c>
      <c r="G46" s="9">
        <v>17028</v>
      </c>
      <c r="H46" s="1" t="s">
        <v>9</v>
      </c>
      <c r="I46" s="3">
        <f t="shared" si="0"/>
        <v>15</v>
      </c>
    </row>
    <row r="47" spans="1:9" ht="15.75" customHeight="1" x14ac:dyDescent="0.25">
      <c r="A47" s="9">
        <v>509100</v>
      </c>
      <c r="B47" s="2">
        <v>22511</v>
      </c>
      <c r="C47" s="22" t="s">
        <v>76</v>
      </c>
      <c r="D47" s="6">
        <v>1</v>
      </c>
      <c r="E47" s="26">
        <v>40318.492361111108</v>
      </c>
      <c r="F47" s="11">
        <v>3.75</v>
      </c>
      <c r="G47" s="9">
        <v>17841</v>
      </c>
      <c r="H47" s="1" t="s">
        <v>9</v>
      </c>
      <c r="I47" s="3">
        <f t="shared" si="0"/>
        <v>3.75</v>
      </c>
    </row>
    <row r="48" spans="1:9" ht="15.75" customHeight="1" x14ac:dyDescent="0.25">
      <c r="A48" s="9" t="s">
        <v>77</v>
      </c>
      <c r="B48" s="2">
        <v>20914</v>
      </c>
      <c r="C48" s="22" t="s">
        <v>78</v>
      </c>
      <c r="D48" s="6">
        <v>-1</v>
      </c>
      <c r="E48" s="26">
        <v>40338.443749999999</v>
      </c>
      <c r="F48" s="11">
        <v>2.95</v>
      </c>
      <c r="G48" s="9">
        <v>18231</v>
      </c>
      <c r="H48" s="1" t="s">
        <v>9</v>
      </c>
      <c r="I48" s="3">
        <f t="shared" si="0"/>
        <v>-2.95</v>
      </c>
    </row>
    <row r="49" spans="1:9" ht="15.75" customHeight="1" x14ac:dyDescent="0.25">
      <c r="A49" s="9">
        <v>524746</v>
      </c>
      <c r="B49" s="2">
        <v>22752</v>
      </c>
      <c r="C49" s="22" t="s">
        <v>79</v>
      </c>
      <c r="D49" s="6">
        <v>4</v>
      </c>
      <c r="E49" s="26">
        <v>40451.611805555563</v>
      </c>
      <c r="F49" s="11">
        <v>8.5</v>
      </c>
      <c r="G49" s="9">
        <v>16859</v>
      </c>
      <c r="H49" s="1" t="s">
        <v>9</v>
      </c>
      <c r="I49" s="3">
        <f t="shared" si="0"/>
        <v>34</v>
      </c>
    </row>
    <row r="50" spans="1:9" ht="15.75" customHeight="1" x14ac:dyDescent="0.25">
      <c r="A50" s="9">
        <v>496821</v>
      </c>
      <c r="B50" s="2">
        <v>22236</v>
      </c>
      <c r="C50" s="22" t="s">
        <v>80</v>
      </c>
      <c r="D50" s="6">
        <v>2</v>
      </c>
      <c r="E50" s="26">
        <v>40213.442361111112</v>
      </c>
      <c r="F50" s="11">
        <v>12.75</v>
      </c>
      <c r="G50" s="9">
        <v>13875</v>
      </c>
      <c r="H50" s="1" t="s">
        <v>9</v>
      </c>
      <c r="I50" s="3">
        <f t="shared" si="0"/>
        <v>25.5</v>
      </c>
    </row>
    <row r="51" spans="1:9" ht="15.75" customHeight="1" x14ac:dyDescent="0.25">
      <c r="A51" s="9">
        <v>513964</v>
      </c>
      <c r="B51" s="2">
        <v>22380</v>
      </c>
      <c r="C51" s="22" t="s">
        <v>81</v>
      </c>
      <c r="D51" s="6">
        <v>20</v>
      </c>
      <c r="E51" s="26">
        <v>40358.636805555558</v>
      </c>
      <c r="F51" s="11">
        <v>2.1</v>
      </c>
      <c r="G51" s="9">
        <v>12380</v>
      </c>
      <c r="H51" s="1" t="s">
        <v>82</v>
      </c>
      <c r="I51" s="3">
        <f t="shared" si="0"/>
        <v>42</v>
      </c>
    </row>
    <row r="52" spans="1:9" ht="15.75" customHeight="1" x14ac:dyDescent="0.25">
      <c r="A52" s="9">
        <v>501291</v>
      </c>
      <c r="B52" s="2">
        <v>84578</v>
      </c>
      <c r="C52" s="22" t="s">
        <v>83</v>
      </c>
      <c r="D52" s="6">
        <v>1</v>
      </c>
      <c r="E52" s="26">
        <v>40252.647916666669</v>
      </c>
      <c r="F52" s="11">
        <v>3.75</v>
      </c>
      <c r="G52" s="9">
        <v>14343</v>
      </c>
      <c r="H52" s="1" t="s">
        <v>9</v>
      </c>
      <c r="I52" s="3">
        <f t="shared" si="0"/>
        <v>3.75</v>
      </c>
    </row>
    <row r="53" spans="1:9" ht="15.75" customHeight="1" x14ac:dyDescent="0.25">
      <c r="A53" s="9">
        <v>525944</v>
      </c>
      <c r="B53" s="2">
        <v>71477</v>
      </c>
      <c r="C53" s="22" t="s">
        <v>84</v>
      </c>
      <c r="D53" s="6">
        <v>5</v>
      </c>
      <c r="E53" s="26">
        <v>40458.737500000003</v>
      </c>
      <c r="F53" s="11">
        <v>3.25</v>
      </c>
      <c r="G53" s="9" t="s">
        <v>85</v>
      </c>
      <c r="H53" s="1" t="s">
        <v>9</v>
      </c>
      <c r="I53" s="3">
        <f t="shared" si="0"/>
        <v>16.25</v>
      </c>
    </row>
    <row r="54" spans="1:9" ht="15.75" customHeight="1" x14ac:dyDescent="0.25">
      <c r="A54" s="9">
        <v>498577</v>
      </c>
      <c r="B54" s="2">
        <v>21892</v>
      </c>
      <c r="C54" s="22" t="s">
        <v>86</v>
      </c>
      <c r="D54" s="6">
        <v>12</v>
      </c>
      <c r="E54" s="26">
        <v>40230.574999999997</v>
      </c>
      <c r="F54" s="11">
        <v>1.25</v>
      </c>
      <c r="G54" s="9">
        <v>16948</v>
      </c>
      <c r="H54" s="1" t="s">
        <v>9</v>
      </c>
      <c r="I54" s="3">
        <f t="shared" si="0"/>
        <v>15</v>
      </c>
    </row>
    <row r="55" spans="1:9" ht="15.75" customHeight="1" x14ac:dyDescent="0.25">
      <c r="A55" s="9">
        <v>497958</v>
      </c>
      <c r="B55" s="2">
        <v>21156</v>
      </c>
      <c r="C55" s="22" t="s">
        <v>88</v>
      </c>
      <c r="D55" s="6">
        <v>2</v>
      </c>
      <c r="E55" s="26">
        <v>40224.555555555547</v>
      </c>
      <c r="F55" s="11">
        <v>1.95</v>
      </c>
      <c r="G55" s="9">
        <v>14680</v>
      </c>
      <c r="H55" s="1" t="s">
        <v>9</v>
      </c>
      <c r="I55" s="3">
        <f t="shared" si="0"/>
        <v>3.9</v>
      </c>
    </row>
    <row r="56" spans="1:9" ht="15.75" customHeight="1" x14ac:dyDescent="0.25">
      <c r="A56" s="9">
        <v>504152</v>
      </c>
      <c r="B56" s="2">
        <v>21622</v>
      </c>
      <c r="C56" s="22" t="s">
        <v>89</v>
      </c>
      <c r="D56" s="6">
        <v>8</v>
      </c>
      <c r="E56" s="26">
        <v>40279.575694444437</v>
      </c>
      <c r="F56" s="11" t="s">
        <v>90</v>
      </c>
      <c r="G56" s="9">
        <v>17838</v>
      </c>
      <c r="H56" s="1" t="s">
        <v>9</v>
      </c>
      <c r="I56" s="3">
        <f t="shared" si="0"/>
        <v>39.6</v>
      </c>
    </row>
    <row r="57" spans="1:9" ht="15.75" customHeight="1" x14ac:dyDescent="0.25">
      <c r="A57" s="9">
        <v>501657</v>
      </c>
      <c r="B57" s="2">
        <v>22328</v>
      </c>
      <c r="C57" s="22" t="s">
        <v>91</v>
      </c>
      <c r="D57" s="6">
        <v>1</v>
      </c>
      <c r="E57" s="26">
        <v>40255.548611111109</v>
      </c>
      <c r="F57" s="11">
        <v>2.95</v>
      </c>
      <c r="G57" s="9">
        <v>13243</v>
      </c>
      <c r="H57" s="1" t="s">
        <v>9</v>
      </c>
      <c r="I57" s="3">
        <f t="shared" si="0"/>
        <v>2.95</v>
      </c>
    </row>
    <row r="58" spans="1:9" ht="15.75" customHeight="1" x14ac:dyDescent="0.25">
      <c r="A58" s="9">
        <v>491816</v>
      </c>
      <c r="B58" s="2">
        <v>20862</v>
      </c>
      <c r="C58" s="22" t="s">
        <v>92</v>
      </c>
      <c r="D58" s="6">
        <v>6</v>
      </c>
      <c r="E58" s="26">
        <v>40161.566666666673</v>
      </c>
      <c r="F58" s="11">
        <v>2.1</v>
      </c>
      <c r="G58" s="9">
        <v>14961</v>
      </c>
      <c r="H58" s="1" t="s">
        <v>9</v>
      </c>
      <c r="I58" s="3">
        <f t="shared" si="0"/>
        <v>12.600000000000001</v>
      </c>
    </row>
    <row r="59" spans="1:9" ht="15.75" customHeight="1" x14ac:dyDescent="0.25">
      <c r="A59" s="9">
        <v>493960</v>
      </c>
      <c r="B59" s="2">
        <v>22024</v>
      </c>
      <c r="C59" s="22" t="s">
        <v>93</v>
      </c>
      <c r="D59" s="6">
        <v>24</v>
      </c>
      <c r="E59" s="26">
        <v>40186.625694444447</v>
      </c>
      <c r="F59" s="11" t="s">
        <v>94</v>
      </c>
      <c r="G59" s="9">
        <v>16556</v>
      </c>
      <c r="H59" s="1" t="s">
        <v>9</v>
      </c>
      <c r="I59" s="3">
        <f t="shared" si="0"/>
        <v>10.08</v>
      </c>
    </row>
    <row r="60" spans="1:9" ht="15.75" customHeight="1" x14ac:dyDescent="0.25">
      <c r="A60" s="9">
        <v>531746</v>
      </c>
      <c r="B60" s="2">
        <v>22745</v>
      </c>
      <c r="C60" s="22" t="s">
        <v>95</v>
      </c>
      <c r="D60" s="6">
        <v>1</v>
      </c>
      <c r="E60" s="26">
        <v>40491.541666666657</v>
      </c>
      <c r="F60" s="11">
        <v>2.1</v>
      </c>
      <c r="G60" s="9">
        <v>14527</v>
      </c>
      <c r="H60" s="1" t="s">
        <v>9</v>
      </c>
      <c r="I60" s="3">
        <f t="shared" si="0"/>
        <v>2.1</v>
      </c>
    </row>
    <row r="61" spans="1:9" ht="15.75" customHeight="1" x14ac:dyDescent="0.25">
      <c r="A61" s="9">
        <v>512093</v>
      </c>
      <c r="B61" s="2">
        <v>21731</v>
      </c>
      <c r="C61" s="22" t="s">
        <v>96</v>
      </c>
      <c r="D61" s="6">
        <v>24</v>
      </c>
      <c r="E61" s="26">
        <v>40342.54583333333</v>
      </c>
      <c r="F61" s="11">
        <v>1.65</v>
      </c>
      <c r="G61" s="9">
        <v>16954</v>
      </c>
      <c r="H61" s="1" t="s">
        <v>9</v>
      </c>
      <c r="I61" s="3">
        <f t="shared" si="0"/>
        <v>39.599999999999994</v>
      </c>
    </row>
    <row r="62" spans="1:9" ht="15.75" customHeight="1" x14ac:dyDescent="0.25">
      <c r="A62" s="9">
        <v>495576</v>
      </c>
      <c r="B62" s="2">
        <v>22355</v>
      </c>
      <c r="C62" s="22" t="s">
        <v>97</v>
      </c>
      <c r="D62" s="6">
        <v>10</v>
      </c>
      <c r="E62" s="26">
        <v>40204.40347222222</v>
      </c>
      <c r="F62" s="11">
        <v>0.85</v>
      </c>
      <c r="G62" s="9">
        <v>15259</v>
      </c>
      <c r="H62" s="1" t="s">
        <v>9</v>
      </c>
      <c r="I62" s="3">
        <f t="shared" si="0"/>
        <v>8.5</v>
      </c>
    </row>
    <row r="63" spans="1:9" ht="15.75" customHeight="1" x14ac:dyDescent="0.25">
      <c r="A63" s="9">
        <v>506383</v>
      </c>
      <c r="B63" s="2">
        <v>21431</v>
      </c>
      <c r="C63" s="22" t="s">
        <v>98</v>
      </c>
      <c r="D63" s="6">
        <v>8</v>
      </c>
      <c r="E63" s="26">
        <v>40297.520833333343</v>
      </c>
      <c r="F63" s="11">
        <v>1.65</v>
      </c>
      <c r="G63" s="9">
        <v>13824</v>
      </c>
      <c r="H63" s="1" t="s">
        <v>9</v>
      </c>
      <c r="I63" s="3">
        <f t="shared" si="0"/>
        <v>13.2</v>
      </c>
    </row>
    <row r="64" spans="1:9" ht="15.75" customHeight="1" x14ac:dyDescent="0.25">
      <c r="A64" s="9">
        <v>523097</v>
      </c>
      <c r="B64" s="2">
        <v>48138</v>
      </c>
      <c r="C64" s="22" t="s">
        <v>99</v>
      </c>
      <c r="D64" s="6">
        <v>3</v>
      </c>
      <c r="E64" s="26">
        <v>40441.51458333333</v>
      </c>
      <c r="F64" s="11">
        <v>7.95</v>
      </c>
      <c r="G64" s="9">
        <v>17055</v>
      </c>
      <c r="H64" s="1" t="s">
        <v>9</v>
      </c>
      <c r="I64" s="3">
        <f t="shared" si="0"/>
        <v>23.85</v>
      </c>
    </row>
    <row r="65" spans="1:9" ht="15.75" customHeight="1" x14ac:dyDescent="0.25">
      <c r="A65" s="9">
        <v>534221</v>
      </c>
      <c r="B65" s="2">
        <v>22745</v>
      </c>
      <c r="C65" s="22" t="s">
        <v>95</v>
      </c>
      <c r="D65" s="6">
        <v>1</v>
      </c>
      <c r="E65" s="26">
        <v>40503.677083333343</v>
      </c>
      <c r="F65" s="11">
        <v>2.1</v>
      </c>
      <c r="G65" s="9" t="s">
        <v>100</v>
      </c>
      <c r="H65" s="1" t="s">
        <v>9</v>
      </c>
      <c r="I65" s="3">
        <f t="shared" si="0"/>
        <v>2.1</v>
      </c>
    </row>
    <row r="66" spans="1:9" ht="15.75" customHeight="1" x14ac:dyDescent="0.25">
      <c r="A66" s="9">
        <v>529763</v>
      </c>
      <c r="B66" s="2">
        <v>22118</v>
      </c>
      <c r="C66" s="22" t="s">
        <v>101</v>
      </c>
      <c r="D66" s="6">
        <v>1</v>
      </c>
      <c r="E66" s="26">
        <v>40480.625</v>
      </c>
      <c r="F66" s="11">
        <v>4.95</v>
      </c>
      <c r="G66" s="9">
        <v>14081</v>
      </c>
      <c r="H66" s="1" t="s">
        <v>9</v>
      </c>
      <c r="I66" s="3">
        <f t="shared" ref="I66:I129" si="1">(D66 *F66)</f>
        <v>4.95</v>
      </c>
    </row>
    <row r="67" spans="1:9" ht="15.75" customHeight="1" x14ac:dyDescent="0.25">
      <c r="A67" s="9">
        <v>528417</v>
      </c>
      <c r="B67" s="2">
        <v>22665</v>
      </c>
      <c r="C67" s="22" t="s">
        <v>102</v>
      </c>
      <c r="D67" s="6">
        <v>6</v>
      </c>
      <c r="E67" s="26">
        <v>40473.4</v>
      </c>
      <c r="F67" s="11">
        <v>2.95</v>
      </c>
      <c r="G67" s="9">
        <v>14156</v>
      </c>
      <c r="H67" s="1" t="s">
        <v>978</v>
      </c>
      <c r="I67" s="3">
        <f t="shared" si="1"/>
        <v>17.700000000000003</v>
      </c>
    </row>
    <row r="68" spans="1:9" ht="15.75" customHeight="1" x14ac:dyDescent="0.25">
      <c r="A68" s="9">
        <v>510232</v>
      </c>
      <c r="B68" s="2">
        <v>22605</v>
      </c>
      <c r="C68" s="22" t="s">
        <v>103</v>
      </c>
      <c r="D68" s="6">
        <v>3</v>
      </c>
      <c r="E68" s="26">
        <v>40326.402777777781</v>
      </c>
      <c r="F68" s="11">
        <v>12.75</v>
      </c>
      <c r="G68" s="9">
        <v>15674</v>
      </c>
      <c r="H68" s="1" t="s">
        <v>9</v>
      </c>
      <c r="I68" s="3">
        <f t="shared" si="1"/>
        <v>38.25</v>
      </c>
    </row>
    <row r="69" spans="1:9" ht="15.75" customHeight="1" x14ac:dyDescent="0.25">
      <c r="A69" s="9">
        <v>528176</v>
      </c>
      <c r="B69" s="2" t="s">
        <v>104</v>
      </c>
      <c r="C69" s="22" t="s">
        <v>105</v>
      </c>
      <c r="D69" s="6">
        <v>4</v>
      </c>
      <c r="E69" s="26">
        <v>40472.436111111107</v>
      </c>
      <c r="F69" s="11">
        <v>4.25</v>
      </c>
      <c r="G69" s="9">
        <v>12725</v>
      </c>
      <c r="H69" s="1" t="s">
        <v>106</v>
      </c>
      <c r="I69" s="3">
        <f t="shared" si="1"/>
        <v>17</v>
      </c>
    </row>
    <row r="70" spans="1:9" ht="15.75" customHeight="1" x14ac:dyDescent="0.25">
      <c r="A70" s="9">
        <v>528761</v>
      </c>
      <c r="B70" s="2">
        <v>22435</v>
      </c>
      <c r="C70" s="22" t="s">
        <v>107</v>
      </c>
      <c r="D70" s="6">
        <v>12</v>
      </c>
      <c r="E70" s="26">
        <v>40475.654166666667</v>
      </c>
      <c r="F70" s="11">
        <v>1.25</v>
      </c>
      <c r="G70" s="9">
        <v>13898</v>
      </c>
      <c r="H70" s="1" t="s">
        <v>9</v>
      </c>
      <c r="I70" s="3">
        <f t="shared" si="1"/>
        <v>15</v>
      </c>
    </row>
    <row r="71" spans="1:9" ht="15.75" customHeight="1" x14ac:dyDescent="0.25">
      <c r="A71" s="9">
        <v>501284</v>
      </c>
      <c r="B71" s="2">
        <v>22321</v>
      </c>
      <c r="C71" s="22" t="s">
        <v>108</v>
      </c>
      <c r="D71" s="6">
        <v>24</v>
      </c>
      <c r="E71" s="26">
        <v>40252.59652777778</v>
      </c>
      <c r="F71" s="11" t="s">
        <v>109</v>
      </c>
      <c r="G71" s="9">
        <v>12714</v>
      </c>
      <c r="H71" s="1" t="s">
        <v>28</v>
      </c>
      <c r="I71" s="3">
        <f t="shared" si="1"/>
        <v>20.399999999999999</v>
      </c>
    </row>
    <row r="72" spans="1:9" ht="15.75" customHeight="1" x14ac:dyDescent="0.25">
      <c r="A72" s="9">
        <v>496703</v>
      </c>
      <c r="B72" s="2">
        <v>22076</v>
      </c>
      <c r="C72" s="22" t="s">
        <v>110</v>
      </c>
      <c r="D72" s="6">
        <v>12</v>
      </c>
      <c r="E72" s="26">
        <v>40212.556944444441</v>
      </c>
      <c r="F72" s="11">
        <v>1.65</v>
      </c>
      <c r="G72" s="9">
        <v>12396</v>
      </c>
      <c r="H72" s="1" t="s">
        <v>979</v>
      </c>
      <c r="I72" s="3">
        <f t="shared" si="1"/>
        <v>19.799999999999997</v>
      </c>
    </row>
    <row r="73" spans="1:9" ht="15.75" customHeight="1" x14ac:dyDescent="0.25">
      <c r="A73" s="9">
        <v>497946</v>
      </c>
      <c r="B73" s="2">
        <v>85198</v>
      </c>
      <c r="C73" s="22" t="s">
        <v>112</v>
      </c>
      <c r="D73" s="6">
        <v>3312</v>
      </c>
      <c r="E73" s="26">
        <v>40224.497916666667</v>
      </c>
      <c r="F73" s="11">
        <v>0.3</v>
      </c>
      <c r="G73" s="9" t="s">
        <v>113</v>
      </c>
      <c r="H73" s="1" t="s">
        <v>114</v>
      </c>
      <c r="I73" s="3">
        <f t="shared" si="1"/>
        <v>993.59999999999991</v>
      </c>
    </row>
    <row r="74" spans="1:9" ht="15.75" customHeight="1" x14ac:dyDescent="0.25">
      <c r="A74" s="9">
        <v>507178</v>
      </c>
      <c r="B74" s="2">
        <v>21121</v>
      </c>
      <c r="C74" s="22" t="s">
        <v>115</v>
      </c>
      <c r="D74" s="6">
        <v>288</v>
      </c>
      <c r="E74" s="26">
        <v>40304.636805555558</v>
      </c>
      <c r="F74" s="11">
        <v>1.06</v>
      </c>
      <c r="G74" s="9">
        <v>14646</v>
      </c>
      <c r="H74" s="1" t="s">
        <v>116</v>
      </c>
      <c r="I74" s="3">
        <f t="shared" si="1"/>
        <v>305.28000000000003</v>
      </c>
    </row>
    <row r="75" spans="1:9" ht="15.75" customHeight="1" x14ac:dyDescent="0.25">
      <c r="A75" s="9">
        <v>516265</v>
      </c>
      <c r="B75" s="2">
        <v>22378</v>
      </c>
      <c r="C75" s="22" t="s">
        <v>117</v>
      </c>
      <c r="D75" s="6">
        <v>1</v>
      </c>
      <c r="E75" s="26">
        <v>40378.504861111112</v>
      </c>
      <c r="F75" s="11">
        <v>2.1</v>
      </c>
      <c r="G75" s="9">
        <v>16782</v>
      </c>
      <c r="H75" s="1" t="s">
        <v>9</v>
      </c>
      <c r="I75" s="3">
        <f t="shared" si="1"/>
        <v>2.1</v>
      </c>
    </row>
    <row r="76" spans="1:9" ht="15.75" customHeight="1" x14ac:dyDescent="0.25">
      <c r="A76" s="9">
        <v>505885</v>
      </c>
      <c r="B76" s="2">
        <v>21175</v>
      </c>
      <c r="C76" s="22" t="s">
        <v>118</v>
      </c>
      <c r="D76" s="6">
        <v>12</v>
      </c>
      <c r="E76" s="26">
        <v>40294.586111111108</v>
      </c>
      <c r="F76" s="11">
        <v>2.1</v>
      </c>
      <c r="G76" s="9">
        <v>16623</v>
      </c>
      <c r="H76" s="1" t="s">
        <v>9</v>
      </c>
      <c r="I76" s="3">
        <f t="shared" si="1"/>
        <v>25.200000000000003</v>
      </c>
    </row>
    <row r="77" spans="1:9" ht="15.75" customHeight="1" x14ac:dyDescent="0.25">
      <c r="A77" s="9">
        <v>510139</v>
      </c>
      <c r="B77" s="2">
        <v>21892</v>
      </c>
      <c r="C77" s="22" t="s">
        <v>86</v>
      </c>
      <c r="D77" s="6">
        <v>2</v>
      </c>
      <c r="E77" s="26">
        <v>40325.51666666667</v>
      </c>
      <c r="F77" s="11">
        <v>1.25</v>
      </c>
      <c r="G77" s="9">
        <v>16695</v>
      </c>
      <c r="H77" s="1" t="s">
        <v>9</v>
      </c>
      <c r="I77" s="3">
        <f t="shared" si="1"/>
        <v>2.5</v>
      </c>
    </row>
    <row r="78" spans="1:9" ht="15.75" customHeight="1" x14ac:dyDescent="0.25">
      <c r="A78" s="9">
        <v>502628</v>
      </c>
      <c r="B78" s="2">
        <v>22262</v>
      </c>
      <c r="C78" s="22" t="s">
        <v>119</v>
      </c>
      <c r="D78" s="6" t="s">
        <v>120</v>
      </c>
      <c r="E78" s="26">
        <v>40262.65</v>
      </c>
      <c r="F78" s="11">
        <v>0.85</v>
      </c>
      <c r="G78" s="9">
        <v>16670</v>
      </c>
      <c r="H78" s="1" t="s">
        <v>9</v>
      </c>
      <c r="I78" s="3">
        <f t="shared" si="1"/>
        <v>10.199999999999999</v>
      </c>
    </row>
    <row r="79" spans="1:9" ht="15.75" customHeight="1" x14ac:dyDescent="0.25">
      <c r="A79" s="9">
        <v>511851</v>
      </c>
      <c r="B79" s="2">
        <v>48184</v>
      </c>
      <c r="C79" s="22" t="s">
        <v>121</v>
      </c>
      <c r="D79" s="6">
        <v>1</v>
      </c>
      <c r="E79" s="26">
        <v>40339.806250000001</v>
      </c>
      <c r="F79" s="11">
        <v>7.49</v>
      </c>
      <c r="G79" s="9">
        <v>13542</v>
      </c>
      <c r="H79" s="1" t="s">
        <v>9</v>
      </c>
      <c r="I79" s="3">
        <f t="shared" si="1"/>
        <v>7.49</v>
      </c>
    </row>
    <row r="80" spans="1:9" ht="15.75" customHeight="1" x14ac:dyDescent="0.25">
      <c r="A80" s="9">
        <v>500326</v>
      </c>
      <c r="B80" s="2" t="s">
        <v>122</v>
      </c>
      <c r="C80" s="22" t="s">
        <v>123</v>
      </c>
      <c r="D80" s="6">
        <v>2</v>
      </c>
      <c r="E80" s="26">
        <v>40244.517361111109</v>
      </c>
      <c r="F80" s="11">
        <v>1.65</v>
      </c>
      <c r="G80" s="9">
        <v>14877</v>
      </c>
      <c r="H80" s="1" t="s">
        <v>9</v>
      </c>
      <c r="I80" s="3">
        <f t="shared" si="1"/>
        <v>3.3</v>
      </c>
    </row>
    <row r="81" spans="1:9" ht="15.75" customHeight="1" x14ac:dyDescent="0.25">
      <c r="A81" s="9">
        <v>526089</v>
      </c>
      <c r="B81" s="2">
        <v>22294</v>
      </c>
      <c r="C81" s="22" t="s">
        <v>124</v>
      </c>
      <c r="D81" s="6">
        <v>24</v>
      </c>
      <c r="E81" s="26">
        <v>40459.509722222218</v>
      </c>
      <c r="F81" s="11">
        <v>1.25</v>
      </c>
      <c r="G81" s="9">
        <v>15281</v>
      </c>
      <c r="H81" s="1" t="s">
        <v>9</v>
      </c>
      <c r="I81" s="3">
        <f t="shared" si="1"/>
        <v>30</v>
      </c>
    </row>
    <row r="82" spans="1:9" ht="15.75" customHeight="1" x14ac:dyDescent="0.25">
      <c r="A82" s="9">
        <v>518432</v>
      </c>
      <c r="B82" s="2">
        <v>21212</v>
      </c>
      <c r="C82" s="22" t="s">
        <v>125</v>
      </c>
      <c r="D82" s="6">
        <v>24</v>
      </c>
      <c r="E82" s="26">
        <v>40399.462500000001</v>
      </c>
      <c r="F82" s="11">
        <v>0.55000000000000004</v>
      </c>
      <c r="G82" s="9">
        <v>14625</v>
      </c>
      <c r="H82" s="1" t="s">
        <v>9</v>
      </c>
      <c r="I82" s="3">
        <f t="shared" si="1"/>
        <v>13.200000000000001</v>
      </c>
    </row>
    <row r="83" spans="1:9" ht="15.75" customHeight="1" x14ac:dyDescent="0.25">
      <c r="A83" s="9">
        <v>533547</v>
      </c>
      <c r="B83" s="2">
        <v>84380</v>
      </c>
      <c r="C83" s="22" t="s">
        <v>126</v>
      </c>
      <c r="D83" s="6">
        <v>12</v>
      </c>
      <c r="E83" s="26">
        <v>40499.699999999997</v>
      </c>
      <c r="F83" s="11">
        <v>1.25</v>
      </c>
      <c r="G83" s="9">
        <v>16409</v>
      </c>
      <c r="H83" s="1" t="s">
        <v>9</v>
      </c>
      <c r="I83" s="3">
        <f t="shared" si="1"/>
        <v>15</v>
      </c>
    </row>
    <row r="84" spans="1:9" ht="15.75" customHeight="1" x14ac:dyDescent="0.25">
      <c r="A84" s="9">
        <v>527754</v>
      </c>
      <c r="B84" s="2">
        <v>84580</v>
      </c>
      <c r="C84" s="22" t="s">
        <v>127</v>
      </c>
      <c r="D84" s="6">
        <v>2</v>
      </c>
      <c r="E84" s="26">
        <v>40469.711805555547</v>
      </c>
      <c r="F84" s="11">
        <v>3.75</v>
      </c>
      <c r="G84" s="9">
        <v>15710</v>
      </c>
      <c r="H84" s="1" t="s">
        <v>9</v>
      </c>
      <c r="I84" s="3">
        <f t="shared" si="1"/>
        <v>7.5</v>
      </c>
    </row>
    <row r="85" spans="1:9" ht="15.75" customHeight="1" x14ac:dyDescent="0.25">
      <c r="A85" s="9">
        <v>496008</v>
      </c>
      <c r="B85" s="2">
        <v>21428</v>
      </c>
      <c r="C85" s="22" t="s">
        <v>128</v>
      </c>
      <c r="D85" s="6">
        <v>4</v>
      </c>
      <c r="E85" s="26">
        <v>40206.525000000001</v>
      </c>
      <c r="F85" s="11" t="s">
        <v>129</v>
      </c>
      <c r="G85" s="9">
        <v>14911</v>
      </c>
      <c r="H85" s="1" t="s">
        <v>978</v>
      </c>
      <c r="I85" s="3">
        <f t="shared" si="1"/>
        <v>17</v>
      </c>
    </row>
    <row r="86" spans="1:9" ht="15.75" customHeight="1" x14ac:dyDescent="0.25">
      <c r="A86" s="9">
        <v>509071</v>
      </c>
      <c r="B86" s="2">
        <v>84839</v>
      </c>
      <c r="C86" s="22" t="s">
        <v>130</v>
      </c>
      <c r="D86" s="6">
        <v>2</v>
      </c>
      <c r="E86" s="26">
        <v>40318.486805555563</v>
      </c>
      <c r="F86" s="11">
        <v>6.75</v>
      </c>
      <c r="G86" s="9">
        <v>16471</v>
      </c>
      <c r="H86" s="1" t="s">
        <v>9</v>
      </c>
      <c r="I86" s="3">
        <f t="shared" si="1"/>
        <v>13.5</v>
      </c>
    </row>
    <row r="87" spans="1:9" ht="15.75" customHeight="1" x14ac:dyDescent="0.25">
      <c r="A87" s="9">
        <v>535656</v>
      </c>
      <c r="B87" s="2">
        <v>21986</v>
      </c>
      <c r="C87" s="22" t="s">
        <v>131</v>
      </c>
      <c r="D87" s="6">
        <v>3</v>
      </c>
      <c r="E87" s="26">
        <v>40510.47152777778</v>
      </c>
      <c r="F87" s="11">
        <v>0.28999999999999998</v>
      </c>
      <c r="G87" s="9">
        <v>16010</v>
      </c>
      <c r="H87" s="1" t="s">
        <v>9</v>
      </c>
      <c r="I87" s="3">
        <f t="shared" si="1"/>
        <v>0.86999999999999988</v>
      </c>
    </row>
    <row r="88" spans="1:9" ht="15.75" customHeight="1" x14ac:dyDescent="0.25">
      <c r="A88" s="9">
        <v>522885</v>
      </c>
      <c r="B88" s="2">
        <v>21535</v>
      </c>
      <c r="C88" s="22" t="s">
        <v>133</v>
      </c>
      <c r="D88" s="6">
        <v>6</v>
      </c>
      <c r="E88" s="26">
        <v>40438.504166666673</v>
      </c>
      <c r="F88" s="11">
        <v>2.5499999999999998</v>
      </c>
      <c r="G88" s="9">
        <v>13952</v>
      </c>
      <c r="H88" s="1" t="s">
        <v>9</v>
      </c>
      <c r="I88" s="3">
        <f t="shared" si="1"/>
        <v>15.299999999999999</v>
      </c>
    </row>
    <row r="89" spans="1:9" ht="15.75" customHeight="1" x14ac:dyDescent="0.25">
      <c r="A89" s="9">
        <v>502038</v>
      </c>
      <c r="B89" s="2">
        <v>20749</v>
      </c>
      <c r="C89" s="22" t="s">
        <v>134</v>
      </c>
      <c r="D89" s="6">
        <v>2</v>
      </c>
      <c r="E89" s="26">
        <v>40259.575694444437</v>
      </c>
      <c r="F89" s="11">
        <v>7.95</v>
      </c>
      <c r="G89" s="9">
        <v>13206</v>
      </c>
      <c r="H89" s="1" t="s">
        <v>9</v>
      </c>
      <c r="I89" s="3">
        <f t="shared" si="1"/>
        <v>15.9</v>
      </c>
    </row>
    <row r="90" spans="1:9" ht="15.75" customHeight="1" x14ac:dyDescent="0.25">
      <c r="A90" s="9">
        <v>516132</v>
      </c>
      <c r="B90" s="2">
        <v>22139</v>
      </c>
      <c r="C90" s="22" t="s">
        <v>135</v>
      </c>
      <c r="D90" s="6">
        <v>12</v>
      </c>
      <c r="E90" s="26">
        <v>40375.643750000003</v>
      </c>
      <c r="F90" s="11">
        <v>4.95</v>
      </c>
      <c r="G90" s="9">
        <v>16767</v>
      </c>
      <c r="H90" s="1" t="s">
        <v>9</v>
      </c>
      <c r="I90" s="3">
        <f t="shared" si="1"/>
        <v>59.400000000000006</v>
      </c>
    </row>
    <row r="91" spans="1:9" ht="15.75" customHeight="1" x14ac:dyDescent="0.25">
      <c r="A91" s="9">
        <v>511500</v>
      </c>
      <c r="B91" s="2">
        <v>21216</v>
      </c>
      <c r="C91" s="22" t="s">
        <v>136</v>
      </c>
      <c r="D91" s="6">
        <v>4</v>
      </c>
      <c r="E91" s="26">
        <v>40337.613888888889</v>
      </c>
      <c r="F91" s="11">
        <v>4.95</v>
      </c>
      <c r="G91" s="9">
        <v>14210</v>
      </c>
      <c r="H91" s="1" t="s">
        <v>9</v>
      </c>
      <c r="I91" s="3">
        <f t="shared" si="1"/>
        <v>19.8</v>
      </c>
    </row>
    <row r="92" spans="1:9" ht="15.75" customHeight="1" x14ac:dyDescent="0.25">
      <c r="A92" s="9">
        <v>518547</v>
      </c>
      <c r="B92" s="2">
        <v>21426</v>
      </c>
      <c r="C92" s="22" t="s">
        <v>137</v>
      </c>
      <c r="D92" s="6">
        <v>96</v>
      </c>
      <c r="E92" s="26">
        <v>40399.770833333343</v>
      </c>
      <c r="F92" s="11">
        <v>1.25</v>
      </c>
      <c r="G92" s="9">
        <v>18102</v>
      </c>
      <c r="H92" s="1" t="s">
        <v>9</v>
      </c>
      <c r="I92" s="3">
        <f t="shared" si="1"/>
        <v>120</v>
      </c>
    </row>
    <row r="93" spans="1:9" ht="15.75" customHeight="1" x14ac:dyDescent="0.25">
      <c r="A93" s="9">
        <v>501689</v>
      </c>
      <c r="B93" s="2">
        <v>22021</v>
      </c>
      <c r="C93" s="22" t="s">
        <v>139</v>
      </c>
      <c r="D93" s="6">
        <v>12</v>
      </c>
      <c r="E93" s="26">
        <v>40255.711805555547</v>
      </c>
      <c r="F93" s="11">
        <v>1.65</v>
      </c>
      <c r="G93" s="9">
        <v>15738</v>
      </c>
      <c r="H93" s="1" t="s">
        <v>9</v>
      </c>
      <c r="I93" s="3">
        <f t="shared" si="1"/>
        <v>19.799999999999997</v>
      </c>
    </row>
    <row r="94" spans="1:9" ht="15.75" customHeight="1" x14ac:dyDescent="0.25">
      <c r="A94" s="9">
        <v>489802</v>
      </c>
      <c r="B94" s="2">
        <v>85104</v>
      </c>
      <c r="C94" s="22" t="s">
        <v>140</v>
      </c>
      <c r="D94" s="6">
        <v>4</v>
      </c>
      <c r="E94" s="26">
        <v>40149.522222222222</v>
      </c>
      <c r="F94" s="11">
        <v>2.95</v>
      </c>
      <c r="G94" s="9">
        <v>15581</v>
      </c>
      <c r="H94" s="1" t="s">
        <v>9</v>
      </c>
      <c r="I94" s="3">
        <f t="shared" si="1"/>
        <v>11.8</v>
      </c>
    </row>
    <row r="95" spans="1:9" ht="15.75" customHeight="1" x14ac:dyDescent="0.25">
      <c r="A95" s="9">
        <v>497364</v>
      </c>
      <c r="B95" s="2" t="s">
        <v>141</v>
      </c>
      <c r="C95" s="22" t="s">
        <v>142</v>
      </c>
      <c r="D95" s="6">
        <v>6</v>
      </c>
      <c r="E95" s="26">
        <v>40218.407638888893</v>
      </c>
      <c r="F95" s="11">
        <v>3.75</v>
      </c>
      <c r="G95" s="9">
        <v>13131</v>
      </c>
      <c r="H95" s="1" t="s">
        <v>9</v>
      </c>
      <c r="I95" s="3">
        <f t="shared" si="1"/>
        <v>22.5</v>
      </c>
    </row>
    <row r="96" spans="1:9" ht="15.75" customHeight="1" x14ac:dyDescent="0.25">
      <c r="A96" s="9">
        <v>535332</v>
      </c>
      <c r="B96" s="2">
        <v>84879</v>
      </c>
      <c r="C96" s="22" t="s">
        <v>143</v>
      </c>
      <c r="D96" s="6">
        <v>8</v>
      </c>
      <c r="E96" s="26">
        <v>40507.663194444453</v>
      </c>
      <c r="F96" s="11">
        <v>1.69</v>
      </c>
      <c r="G96" s="9">
        <v>18161</v>
      </c>
      <c r="H96" s="1" t="s">
        <v>9</v>
      </c>
      <c r="I96" s="3">
        <f t="shared" si="1"/>
        <v>13.52</v>
      </c>
    </row>
    <row r="97" spans="1:9" ht="15.75" customHeight="1" x14ac:dyDescent="0.25">
      <c r="A97" s="9">
        <v>513953</v>
      </c>
      <c r="B97" s="2">
        <v>21043</v>
      </c>
      <c r="C97" s="22" t="s">
        <v>144</v>
      </c>
      <c r="D97" s="6">
        <v>3</v>
      </c>
      <c r="E97" s="26">
        <v>40358.593055555553</v>
      </c>
      <c r="F97" s="11">
        <v>5.95</v>
      </c>
      <c r="G97" s="9">
        <v>14426</v>
      </c>
      <c r="H97" s="1" t="s">
        <v>9</v>
      </c>
      <c r="I97" s="3">
        <f t="shared" si="1"/>
        <v>17.850000000000001</v>
      </c>
    </row>
    <row r="98" spans="1:9" ht="15.75" customHeight="1" x14ac:dyDescent="0.25">
      <c r="A98" s="9">
        <v>494359</v>
      </c>
      <c r="B98" s="2">
        <v>21730</v>
      </c>
      <c r="C98" s="22" t="s">
        <v>145</v>
      </c>
      <c r="D98" s="6">
        <v>2</v>
      </c>
      <c r="E98" s="26">
        <v>40191.64166666667</v>
      </c>
      <c r="F98" s="11">
        <v>4.95</v>
      </c>
      <c r="G98" s="9">
        <v>17962</v>
      </c>
      <c r="H98" s="1" t="s">
        <v>9</v>
      </c>
      <c r="I98" s="3">
        <f t="shared" si="1"/>
        <v>9.9</v>
      </c>
    </row>
    <row r="99" spans="1:9" ht="15.75" customHeight="1" x14ac:dyDescent="0.25">
      <c r="A99" s="9">
        <v>533376</v>
      </c>
      <c r="B99" s="2">
        <v>22113</v>
      </c>
      <c r="C99" s="22" t="s">
        <v>146</v>
      </c>
      <c r="D99" s="6">
        <v>12</v>
      </c>
      <c r="E99" s="26">
        <v>40499.443749999999</v>
      </c>
      <c r="F99" s="11" t="s">
        <v>147</v>
      </c>
      <c r="G99" s="9">
        <v>15640</v>
      </c>
      <c r="H99" s="1" t="s">
        <v>9</v>
      </c>
      <c r="I99" s="3">
        <f t="shared" si="1"/>
        <v>45</v>
      </c>
    </row>
    <row r="100" spans="1:9" ht="15.75" customHeight="1" x14ac:dyDescent="0.25">
      <c r="A100" s="9">
        <v>536975</v>
      </c>
      <c r="B100" s="2" t="s">
        <v>148</v>
      </c>
      <c r="C100" s="22" t="s">
        <v>149</v>
      </c>
      <c r="D100" s="6">
        <v>4</v>
      </c>
      <c r="E100" s="26">
        <v>40515.586111111108</v>
      </c>
      <c r="F100" s="11">
        <v>3.75</v>
      </c>
      <c r="G100" s="9">
        <v>14911</v>
      </c>
      <c r="H100" s="1" t="s">
        <v>978</v>
      </c>
      <c r="I100" s="3">
        <f t="shared" si="1"/>
        <v>15</v>
      </c>
    </row>
    <row r="101" spans="1:9" ht="15.75" customHeight="1" x14ac:dyDescent="0.25">
      <c r="A101" s="9">
        <v>537346</v>
      </c>
      <c r="B101" s="2">
        <v>22733</v>
      </c>
      <c r="C101" s="22" t="s">
        <v>150</v>
      </c>
      <c r="D101" s="6">
        <v>18</v>
      </c>
      <c r="E101" s="26">
        <v>40518.51458333333</v>
      </c>
      <c r="F101" s="11">
        <v>1.25</v>
      </c>
      <c r="G101" s="9">
        <v>15301</v>
      </c>
      <c r="H101" s="1" t="s">
        <v>9</v>
      </c>
      <c r="I101" s="3">
        <f t="shared" si="1"/>
        <v>22.5</v>
      </c>
    </row>
    <row r="102" spans="1:9" ht="15.75" customHeight="1" x14ac:dyDescent="0.25">
      <c r="A102" s="9">
        <v>525577</v>
      </c>
      <c r="B102" s="2">
        <v>22208</v>
      </c>
      <c r="C102" s="22" t="s">
        <v>151</v>
      </c>
      <c r="D102" s="6">
        <v>36</v>
      </c>
      <c r="E102" s="26">
        <v>40457.445138888892</v>
      </c>
      <c r="F102" s="11">
        <v>1.65</v>
      </c>
      <c r="G102" s="9">
        <v>16253</v>
      </c>
      <c r="H102" s="1" t="s">
        <v>9</v>
      </c>
      <c r="I102" s="3">
        <f t="shared" si="1"/>
        <v>59.4</v>
      </c>
    </row>
    <row r="103" spans="1:9" ht="15.75" customHeight="1" x14ac:dyDescent="0.25">
      <c r="A103" s="9">
        <v>533064</v>
      </c>
      <c r="B103" s="2">
        <v>22141</v>
      </c>
      <c r="C103" s="22" t="s">
        <v>152</v>
      </c>
      <c r="D103" s="6">
        <v>1</v>
      </c>
      <c r="E103" s="26">
        <v>40497.709027777782</v>
      </c>
      <c r="F103" s="11">
        <v>2.1</v>
      </c>
      <c r="G103" s="9">
        <v>17364</v>
      </c>
      <c r="H103" s="1" t="s">
        <v>9</v>
      </c>
      <c r="I103" s="3">
        <f t="shared" si="1"/>
        <v>2.1</v>
      </c>
    </row>
    <row r="104" spans="1:9" ht="15.75" customHeight="1" x14ac:dyDescent="0.25">
      <c r="A104" s="9">
        <v>523648</v>
      </c>
      <c r="B104" s="2" t="s">
        <v>153</v>
      </c>
      <c r="C104" s="22" t="s">
        <v>154</v>
      </c>
      <c r="D104" s="6">
        <v>6</v>
      </c>
      <c r="E104" s="26">
        <v>40444.525694444441</v>
      </c>
      <c r="F104" s="11">
        <v>2.95</v>
      </c>
      <c r="G104" s="9">
        <v>16830</v>
      </c>
      <c r="H104" s="1" t="s">
        <v>9</v>
      </c>
      <c r="I104" s="3">
        <f t="shared" si="1"/>
        <v>17.700000000000003</v>
      </c>
    </row>
    <row r="105" spans="1:9" ht="15.75" customHeight="1" x14ac:dyDescent="0.25">
      <c r="A105" s="9">
        <v>525974</v>
      </c>
      <c r="B105" s="2">
        <v>22948</v>
      </c>
      <c r="C105" s="22" t="s">
        <v>155</v>
      </c>
      <c r="D105" s="6">
        <v>24</v>
      </c>
      <c r="E105" s="26">
        <v>40459.432638888888</v>
      </c>
      <c r="F105" s="11">
        <v>0.85</v>
      </c>
      <c r="G105" s="9">
        <v>14769</v>
      </c>
      <c r="H105" s="1" t="s">
        <v>9</v>
      </c>
      <c r="I105" s="3">
        <f t="shared" si="1"/>
        <v>20.399999999999999</v>
      </c>
    </row>
    <row r="106" spans="1:9" ht="15.75" customHeight="1" x14ac:dyDescent="0.25">
      <c r="A106" s="9">
        <v>533841</v>
      </c>
      <c r="B106" s="2">
        <v>20961</v>
      </c>
      <c r="C106" s="22" t="s">
        <v>156</v>
      </c>
      <c r="D106" s="6">
        <v>1</v>
      </c>
      <c r="E106" s="26">
        <v>40501.466666666667</v>
      </c>
      <c r="F106" s="11">
        <v>1.25</v>
      </c>
      <c r="G106" s="9">
        <v>17269</v>
      </c>
      <c r="H106" s="1" t="s">
        <v>9</v>
      </c>
      <c r="I106" s="3">
        <f t="shared" si="1"/>
        <v>1.25</v>
      </c>
    </row>
    <row r="107" spans="1:9" ht="15.75" customHeight="1" x14ac:dyDescent="0.25">
      <c r="A107" s="9">
        <v>537762</v>
      </c>
      <c r="B107" s="2">
        <v>22909</v>
      </c>
      <c r="C107" s="22" t="s">
        <v>157</v>
      </c>
      <c r="D107" s="6">
        <v>12</v>
      </c>
      <c r="E107" s="26">
        <v>40520.500694444447</v>
      </c>
      <c r="F107" s="11">
        <v>0.85</v>
      </c>
      <c r="G107" s="9">
        <v>16558</v>
      </c>
      <c r="H107" s="1" t="s">
        <v>9</v>
      </c>
      <c r="I107" s="3">
        <f t="shared" si="1"/>
        <v>10.199999999999999</v>
      </c>
    </row>
    <row r="108" spans="1:9" ht="15.75" customHeight="1" x14ac:dyDescent="0.25">
      <c r="A108" s="9">
        <v>525898</v>
      </c>
      <c r="B108" s="2">
        <v>35924</v>
      </c>
      <c r="C108" s="22" t="s">
        <v>158</v>
      </c>
      <c r="D108" s="6">
        <v>1</v>
      </c>
      <c r="E108" s="26">
        <v>40458.647916666669</v>
      </c>
      <c r="F108" s="11">
        <v>2.1</v>
      </c>
      <c r="G108" s="9">
        <v>16072</v>
      </c>
      <c r="H108" s="1" t="s">
        <v>9</v>
      </c>
      <c r="I108" s="3">
        <f t="shared" si="1"/>
        <v>2.1</v>
      </c>
    </row>
    <row r="109" spans="1:9" ht="15.75" customHeight="1" x14ac:dyDescent="0.25">
      <c r="A109" s="9">
        <v>507880</v>
      </c>
      <c r="B109" s="2">
        <v>47568</v>
      </c>
      <c r="C109" s="22" t="s">
        <v>159</v>
      </c>
      <c r="D109" s="6">
        <v>6</v>
      </c>
      <c r="E109" s="26">
        <v>40309.627083333333</v>
      </c>
      <c r="F109" s="11">
        <v>2.1</v>
      </c>
      <c r="G109" s="9">
        <v>12455</v>
      </c>
      <c r="H109" s="1" t="s">
        <v>160</v>
      </c>
      <c r="I109" s="3">
        <f t="shared" si="1"/>
        <v>12.600000000000001</v>
      </c>
    </row>
    <row r="110" spans="1:9" ht="15.75" customHeight="1" x14ac:dyDescent="0.25">
      <c r="A110" s="9">
        <v>537065</v>
      </c>
      <c r="B110" s="2" t="s">
        <v>141</v>
      </c>
      <c r="C110" s="22" t="s">
        <v>161</v>
      </c>
      <c r="D110" s="6">
        <v>6</v>
      </c>
      <c r="E110" s="26">
        <v>40517.497916666667</v>
      </c>
      <c r="F110" s="11">
        <v>3.75</v>
      </c>
      <c r="G110" s="9">
        <v>12567</v>
      </c>
      <c r="H110" s="1" t="s">
        <v>28</v>
      </c>
      <c r="I110" s="3">
        <f t="shared" si="1"/>
        <v>22.5</v>
      </c>
    </row>
    <row r="111" spans="1:9" ht="15.75" customHeight="1" x14ac:dyDescent="0.25">
      <c r="A111" s="9">
        <v>504413</v>
      </c>
      <c r="B111" s="2">
        <v>22440</v>
      </c>
      <c r="C111" s="22" t="s">
        <v>162</v>
      </c>
      <c r="D111" s="6">
        <v>20</v>
      </c>
      <c r="E111" s="26">
        <v>40281.518750000003</v>
      </c>
      <c r="F111" s="11">
        <v>0.42</v>
      </c>
      <c r="G111" s="9">
        <v>13089</v>
      </c>
      <c r="H111" s="1" t="s">
        <v>9</v>
      </c>
      <c r="I111" s="3">
        <f t="shared" si="1"/>
        <v>8.4</v>
      </c>
    </row>
    <row r="112" spans="1:9" ht="15.75" customHeight="1" x14ac:dyDescent="0.25">
      <c r="A112" s="9">
        <v>525286</v>
      </c>
      <c r="B112" s="2">
        <v>20825</v>
      </c>
      <c r="C112" s="22" t="s">
        <v>163</v>
      </c>
      <c r="D112" s="6">
        <v>288</v>
      </c>
      <c r="E112" s="26">
        <v>40456.356944444437</v>
      </c>
      <c r="F112" s="11">
        <v>3.39</v>
      </c>
      <c r="G112" s="9">
        <v>15061</v>
      </c>
      <c r="H112" s="1" t="s">
        <v>9</v>
      </c>
      <c r="I112" s="3">
        <f t="shared" si="1"/>
        <v>976.32</v>
      </c>
    </row>
    <row r="113" spans="1:9" ht="15.75" customHeight="1" x14ac:dyDescent="0.25">
      <c r="A113" s="9">
        <v>511081</v>
      </c>
      <c r="B113" s="2">
        <v>22470</v>
      </c>
      <c r="C113" s="22" t="s">
        <v>164</v>
      </c>
      <c r="D113" s="6">
        <v>6</v>
      </c>
      <c r="E113" s="26">
        <v>40335.586805555547</v>
      </c>
      <c r="F113" s="11">
        <v>2.95</v>
      </c>
      <c r="G113" s="9">
        <v>14128</v>
      </c>
      <c r="H113" s="1" t="s">
        <v>9</v>
      </c>
      <c r="I113" s="3">
        <f t="shared" si="1"/>
        <v>17.700000000000003</v>
      </c>
    </row>
    <row r="114" spans="1:9" ht="15.75" customHeight="1" x14ac:dyDescent="0.25">
      <c r="A114" s="9">
        <v>490957</v>
      </c>
      <c r="B114" s="2">
        <v>22134</v>
      </c>
      <c r="C114" s="22" t="s">
        <v>165</v>
      </c>
      <c r="D114" s="6">
        <v>12</v>
      </c>
      <c r="E114" s="26">
        <v>40155.633333333331</v>
      </c>
      <c r="F114" s="11">
        <v>0.42</v>
      </c>
      <c r="G114" s="9">
        <v>15823</v>
      </c>
      <c r="H114" s="1" t="s">
        <v>9</v>
      </c>
      <c r="I114" s="3">
        <f t="shared" si="1"/>
        <v>5.04</v>
      </c>
    </row>
    <row r="115" spans="1:9" ht="15.75" customHeight="1" x14ac:dyDescent="0.25">
      <c r="A115" s="9">
        <v>500336</v>
      </c>
      <c r="B115" s="2">
        <v>21327</v>
      </c>
      <c r="C115" s="22" t="s">
        <v>166</v>
      </c>
      <c r="D115" s="6">
        <v>2</v>
      </c>
      <c r="E115" s="26">
        <v>40244.574999999997</v>
      </c>
      <c r="F115" s="11">
        <v>1.65</v>
      </c>
      <c r="G115" s="9">
        <v>17589</v>
      </c>
      <c r="H115" s="1" t="s">
        <v>9</v>
      </c>
      <c r="I115" s="3">
        <f t="shared" si="1"/>
        <v>3.3</v>
      </c>
    </row>
    <row r="116" spans="1:9" ht="15.75" customHeight="1" x14ac:dyDescent="0.25">
      <c r="A116" s="9">
        <v>528470</v>
      </c>
      <c r="B116" s="2">
        <v>22947</v>
      </c>
      <c r="C116" s="22" t="s">
        <v>167</v>
      </c>
      <c r="D116" s="6">
        <v>1</v>
      </c>
      <c r="E116" s="26">
        <v>40473.486111111109</v>
      </c>
      <c r="F116" s="11">
        <v>16.95</v>
      </c>
      <c r="G116" s="9">
        <v>16392</v>
      </c>
      <c r="H116" s="1" t="s">
        <v>9</v>
      </c>
      <c r="I116" s="3">
        <f t="shared" si="1"/>
        <v>16.95</v>
      </c>
    </row>
    <row r="117" spans="1:9" ht="15.75" customHeight="1" x14ac:dyDescent="0.25">
      <c r="A117" s="9">
        <v>521406</v>
      </c>
      <c r="B117" s="2">
        <v>22379</v>
      </c>
      <c r="C117" s="22" t="s">
        <v>168</v>
      </c>
      <c r="D117" s="6">
        <v>25</v>
      </c>
      <c r="E117" s="26">
        <v>40427.445833333331</v>
      </c>
      <c r="F117" s="11">
        <v>2.1</v>
      </c>
      <c r="G117" s="9">
        <v>13093</v>
      </c>
      <c r="H117" s="1" t="s">
        <v>9</v>
      </c>
      <c r="I117" s="3">
        <f t="shared" si="1"/>
        <v>52.5</v>
      </c>
    </row>
    <row r="118" spans="1:9" ht="15.75" customHeight="1" x14ac:dyDescent="0.25">
      <c r="A118" s="9">
        <v>526945</v>
      </c>
      <c r="B118" s="2">
        <v>22764</v>
      </c>
      <c r="C118" s="22" t="s">
        <v>169</v>
      </c>
      <c r="D118" s="6">
        <v>34</v>
      </c>
      <c r="E118" s="26">
        <v>40465.4375</v>
      </c>
      <c r="F118" s="11">
        <v>16.88</v>
      </c>
      <c r="G118" s="9">
        <v>18102</v>
      </c>
      <c r="H118" s="1" t="s">
        <v>9</v>
      </c>
      <c r="I118" s="3">
        <f t="shared" si="1"/>
        <v>573.91999999999996</v>
      </c>
    </row>
    <row r="119" spans="1:9" ht="15.75" customHeight="1" x14ac:dyDescent="0.25">
      <c r="A119" s="9">
        <v>502613</v>
      </c>
      <c r="B119" s="2">
        <v>22082</v>
      </c>
      <c r="C119" s="22" t="s">
        <v>170</v>
      </c>
      <c r="D119" s="6">
        <v>5</v>
      </c>
      <c r="E119" s="26">
        <v>40262.598611111112</v>
      </c>
      <c r="F119" s="11">
        <v>1.65</v>
      </c>
      <c r="G119" s="9">
        <v>14535</v>
      </c>
      <c r="H119" s="1" t="s">
        <v>9</v>
      </c>
      <c r="I119" s="3">
        <f t="shared" si="1"/>
        <v>8.25</v>
      </c>
    </row>
    <row r="120" spans="1:9" ht="15.75" customHeight="1" x14ac:dyDescent="0.25">
      <c r="A120" s="9">
        <v>498594</v>
      </c>
      <c r="B120" s="2" t="s">
        <v>171</v>
      </c>
      <c r="C120" s="22" t="s">
        <v>172</v>
      </c>
      <c r="D120" s="6">
        <v>1</v>
      </c>
      <c r="E120" s="26">
        <v>40230.658333333333</v>
      </c>
      <c r="F120" s="11">
        <v>1.95</v>
      </c>
      <c r="G120" s="9">
        <v>16797</v>
      </c>
      <c r="H120" s="1" t="s">
        <v>9</v>
      </c>
      <c r="I120" s="3">
        <f t="shared" si="1"/>
        <v>1.95</v>
      </c>
    </row>
    <row r="121" spans="1:9" ht="15.75" customHeight="1" x14ac:dyDescent="0.25">
      <c r="A121" s="9">
        <v>528734</v>
      </c>
      <c r="B121" s="2">
        <v>22303</v>
      </c>
      <c r="C121" s="22" t="s">
        <v>173</v>
      </c>
      <c r="D121" s="6">
        <v>6</v>
      </c>
      <c r="E121" s="26">
        <v>40475.579861111109</v>
      </c>
      <c r="F121" s="11">
        <v>2.5499999999999998</v>
      </c>
      <c r="G121" s="9">
        <v>17435</v>
      </c>
      <c r="H121" s="1" t="s">
        <v>9</v>
      </c>
      <c r="I121" s="3">
        <f t="shared" si="1"/>
        <v>15.299999999999999</v>
      </c>
    </row>
    <row r="122" spans="1:9" ht="15.75" customHeight="1" x14ac:dyDescent="0.25">
      <c r="A122" s="9">
        <v>516485</v>
      </c>
      <c r="B122" s="2">
        <v>22617</v>
      </c>
      <c r="C122" s="22" t="s">
        <v>174</v>
      </c>
      <c r="D122" s="6">
        <v>3</v>
      </c>
      <c r="E122" s="26">
        <v>40380.406944444447</v>
      </c>
      <c r="F122" s="11">
        <v>4.95</v>
      </c>
      <c r="G122" s="9">
        <v>12720</v>
      </c>
      <c r="H122" s="1" t="s">
        <v>17</v>
      </c>
      <c r="I122" s="3">
        <f t="shared" si="1"/>
        <v>14.850000000000001</v>
      </c>
    </row>
    <row r="123" spans="1:9" ht="15.75" customHeight="1" x14ac:dyDescent="0.25">
      <c r="A123" s="9">
        <v>535266</v>
      </c>
      <c r="B123" s="2">
        <v>22975</v>
      </c>
      <c r="C123" s="22" t="s">
        <v>175</v>
      </c>
      <c r="D123" s="6">
        <v>1</v>
      </c>
      <c r="E123" s="26">
        <v>40507.563888888893</v>
      </c>
      <c r="F123" s="11">
        <v>1.25</v>
      </c>
      <c r="G123" s="9">
        <v>14159</v>
      </c>
      <c r="H123" s="1" t="s">
        <v>9</v>
      </c>
      <c r="I123" s="3">
        <f t="shared" si="1"/>
        <v>1.25</v>
      </c>
    </row>
    <row r="124" spans="1:9" ht="15.75" customHeight="1" x14ac:dyDescent="0.25">
      <c r="A124" s="9">
        <v>495010</v>
      </c>
      <c r="B124" s="2" t="s">
        <v>176</v>
      </c>
      <c r="C124" s="22" t="s">
        <v>177</v>
      </c>
      <c r="D124" s="6">
        <v>2</v>
      </c>
      <c r="E124" s="26">
        <v>40198.524305555547</v>
      </c>
      <c r="F124" s="11">
        <v>7.95</v>
      </c>
      <c r="G124" s="9">
        <v>15191</v>
      </c>
      <c r="H124" s="1" t="s">
        <v>9</v>
      </c>
      <c r="I124" s="3">
        <f t="shared" si="1"/>
        <v>15.9</v>
      </c>
    </row>
    <row r="125" spans="1:9" ht="15.75" customHeight="1" x14ac:dyDescent="0.25">
      <c r="A125" s="9">
        <v>536557</v>
      </c>
      <c r="B125" s="2">
        <v>22111</v>
      </c>
      <c r="C125" s="22" t="s">
        <v>178</v>
      </c>
      <c r="D125" s="6">
        <v>7</v>
      </c>
      <c r="E125" s="26">
        <v>40513.611805555563</v>
      </c>
      <c r="F125" s="11">
        <v>4.95</v>
      </c>
      <c r="G125" s="9">
        <v>17841</v>
      </c>
      <c r="H125" s="1" t="s">
        <v>9</v>
      </c>
      <c r="I125" s="3">
        <f t="shared" si="1"/>
        <v>34.65</v>
      </c>
    </row>
    <row r="126" spans="1:9" ht="15.75" customHeight="1" x14ac:dyDescent="0.25">
      <c r="A126" s="9">
        <v>499377</v>
      </c>
      <c r="B126" s="2">
        <v>20621</v>
      </c>
      <c r="C126" s="22" t="s">
        <v>179</v>
      </c>
      <c r="D126" s="6">
        <v>1</v>
      </c>
      <c r="E126" s="26">
        <v>40235.499305555553</v>
      </c>
      <c r="F126" s="11">
        <v>2.1</v>
      </c>
      <c r="G126" s="9">
        <v>14177</v>
      </c>
      <c r="H126" s="1" t="s">
        <v>9</v>
      </c>
      <c r="I126" s="3">
        <f t="shared" si="1"/>
        <v>2.1</v>
      </c>
    </row>
    <row r="127" spans="1:9" ht="15.75" customHeight="1" x14ac:dyDescent="0.25">
      <c r="A127" s="9">
        <v>523867</v>
      </c>
      <c r="B127" s="2">
        <v>21872</v>
      </c>
      <c r="C127" s="22" t="s">
        <v>180</v>
      </c>
      <c r="D127" s="6">
        <v>1</v>
      </c>
      <c r="E127" s="26">
        <v>40445.529861111107</v>
      </c>
      <c r="F127" s="11">
        <v>1.25</v>
      </c>
      <c r="G127" s="9">
        <v>13174</v>
      </c>
      <c r="H127" s="1" t="s">
        <v>9</v>
      </c>
      <c r="I127" s="3">
        <f t="shared" si="1"/>
        <v>1.25</v>
      </c>
    </row>
    <row r="128" spans="1:9" ht="15.75" customHeight="1" x14ac:dyDescent="0.25">
      <c r="A128" s="9">
        <v>512527</v>
      </c>
      <c r="B128" s="2">
        <v>22421</v>
      </c>
      <c r="C128" s="22" t="s">
        <v>181</v>
      </c>
      <c r="D128" s="6">
        <v>12</v>
      </c>
      <c r="E128" s="26">
        <v>40345.495138888888</v>
      </c>
      <c r="F128" s="11">
        <v>0.42</v>
      </c>
      <c r="G128" s="9">
        <v>17448</v>
      </c>
      <c r="H128" s="1" t="s">
        <v>9</v>
      </c>
      <c r="I128" s="3">
        <f t="shared" si="1"/>
        <v>5.04</v>
      </c>
    </row>
    <row r="129" spans="1:9" ht="15.75" customHeight="1" x14ac:dyDescent="0.25">
      <c r="A129" s="9">
        <v>510331</v>
      </c>
      <c r="B129" s="2">
        <v>22613</v>
      </c>
      <c r="C129" s="22" t="s">
        <v>182</v>
      </c>
      <c r="D129" s="6">
        <v>12</v>
      </c>
      <c r="E129" s="26">
        <v>40326.581250000003</v>
      </c>
      <c r="F129" s="11">
        <v>0.85</v>
      </c>
      <c r="G129" s="9">
        <v>13081</v>
      </c>
      <c r="H129" s="1" t="s">
        <v>9</v>
      </c>
      <c r="I129" s="3">
        <f t="shared" si="1"/>
        <v>10.199999999999999</v>
      </c>
    </row>
    <row r="130" spans="1:9" ht="15.75" customHeight="1" x14ac:dyDescent="0.25">
      <c r="A130" s="9">
        <v>509985</v>
      </c>
      <c r="B130" s="2">
        <v>48138</v>
      </c>
      <c r="C130" s="22" t="s">
        <v>183</v>
      </c>
      <c r="D130" s="6">
        <v>2</v>
      </c>
      <c r="E130" s="26">
        <v>40324.613194444442</v>
      </c>
      <c r="F130" s="11">
        <v>7.49</v>
      </c>
      <c r="G130" s="9">
        <v>12681</v>
      </c>
      <c r="H130" s="1" t="s">
        <v>28</v>
      </c>
      <c r="I130" s="3">
        <f t="shared" ref="I130:I193" si="2">(D130 *F130)</f>
        <v>14.98</v>
      </c>
    </row>
    <row r="131" spans="1:9" ht="15.75" customHeight="1" x14ac:dyDescent="0.25">
      <c r="A131" s="9">
        <v>521363</v>
      </c>
      <c r="B131" s="2">
        <v>22595</v>
      </c>
      <c r="C131" s="22" t="s">
        <v>184</v>
      </c>
      <c r="D131" s="6">
        <v>48</v>
      </c>
      <c r="E131" s="26">
        <v>40426.42083333333</v>
      </c>
      <c r="F131" s="11">
        <v>0.85</v>
      </c>
      <c r="G131" s="9">
        <v>15255</v>
      </c>
      <c r="H131" s="1" t="s">
        <v>9</v>
      </c>
      <c r="I131" s="3">
        <f t="shared" si="2"/>
        <v>40.799999999999997</v>
      </c>
    </row>
    <row r="132" spans="1:9" ht="15.75" customHeight="1" x14ac:dyDescent="0.25">
      <c r="A132" s="9">
        <v>503837</v>
      </c>
      <c r="B132" s="2" t="s">
        <v>185</v>
      </c>
      <c r="C132" s="22" t="s">
        <v>186</v>
      </c>
      <c r="D132" s="6">
        <v>12</v>
      </c>
      <c r="E132" s="26">
        <v>40275.681250000001</v>
      </c>
      <c r="F132" s="11">
        <v>0.85</v>
      </c>
      <c r="G132" s="9">
        <v>17738</v>
      </c>
      <c r="H132" s="1" t="s">
        <v>9</v>
      </c>
      <c r="I132" s="3">
        <f t="shared" si="2"/>
        <v>10.199999999999999</v>
      </c>
    </row>
    <row r="133" spans="1:9" ht="15.75" customHeight="1" x14ac:dyDescent="0.25">
      <c r="A133" s="9">
        <v>507122</v>
      </c>
      <c r="B133" s="2">
        <v>21987</v>
      </c>
      <c r="C133" s="22" t="s">
        <v>187</v>
      </c>
      <c r="D133" s="6">
        <v>84</v>
      </c>
      <c r="E133" s="26">
        <v>40304.493055555547</v>
      </c>
      <c r="F133" s="11">
        <v>0.65</v>
      </c>
      <c r="G133" s="9">
        <v>12678</v>
      </c>
      <c r="H133" s="1" t="s">
        <v>28</v>
      </c>
      <c r="I133" s="3">
        <f t="shared" si="2"/>
        <v>54.6</v>
      </c>
    </row>
    <row r="134" spans="1:9" ht="15.75" customHeight="1" x14ac:dyDescent="0.25">
      <c r="A134" s="9">
        <v>528329</v>
      </c>
      <c r="B134" s="2">
        <v>21866</v>
      </c>
      <c r="C134" s="22" t="s">
        <v>188</v>
      </c>
      <c r="D134" s="6">
        <v>1</v>
      </c>
      <c r="E134" s="26">
        <v>40472.557638888888</v>
      </c>
      <c r="F134" s="11">
        <v>1.25</v>
      </c>
      <c r="G134" s="9">
        <v>13891</v>
      </c>
      <c r="H134" s="1" t="s">
        <v>9</v>
      </c>
      <c r="I134" s="3">
        <f t="shared" si="2"/>
        <v>1.25</v>
      </c>
    </row>
    <row r="135" spans="1:9" ht="15.75" customHeight="1" x14ac:dyDescent="0.25">
      <c r="A135" s="9">
        <v>521973</v>
      </c>
      <c r="B135" s="2">
        <v>20754</v>
      </c>
      <c r="C135" s="22" t="s">
        <v>189</v>
      </c>
      <c r="D135" s="6">
        <v>1</v>
      </c>
      <c r="E135" s="26">
        <v>40430.823611111111</v>
      </c>
      <c r="F135" s="11" t="s">
        <v>190</v>
      </c>
      <c r="G135" s="9">
        <v>17366</v>
      </c>
      <c r="H135" s="1" t="s">
        <v>9</v>
      </c>
      <c r="I135" s="3">
        <f t="shared" si="2"/>
        <v>2.1</v>
      </c>
    </row>
    <row r="136" spans="1:9" ht="15.75" customHeight="1" x14ac:dyDescent="0.25">
      <c r="A136" s="9">
        <v>515760</v>
      </c>
      <c r="B136" s="2">
        <v>85150</v>
      </c>
      <c r="C136" s="22" t="s">
        <v>191</v>
      </c>
      <c r="D136" s="6">
        <v>12</v>
      </c>
      <c r="E136" s="26">
        <v>40373.569444444453</v>
      </c>
      <c r="F136" s="11">
        <v>2.5499999999999998</v>
      </c>
      <c r="G136" s="9">
        <v>13012</v>
      </c>
      <c r="H136" s="1" t="s">
        <v>9</v>
      </c>
      <c r="I136" s="3">
        <f t="shared" si="2"/>
        <v>30.599999999999998</v>
      </c>
    </row>
    <row r="137" spans="1:9" ht="15.75" customHeight="1" x14ac:dyDescent="0.25">
      <c r="A137" s="9">
        <v>508721</v>
      </c>
      <c r="B137" s="2">
        <v>21870</v>
      </c>
      <c r="C137" s="22" t="s">
        <v>192</v>
      </c>
      <c r="D137" s="6">
        <v>2</v>
      </c>
      <c r="E137" s="26">
        <v>40315.724999999999</v>
      </c>
      <c r="F137" s="11">
        <v>1.25</v>
      </c>
      <c r="G137" s="9">
        <v>14606</v>
      </c>
      <c r="H137" s="1" t="s">
        <v>9</v>
      </c>
      <c r="I137" s="3">
        <f t="shared" si="2"/>
        <v>2.5</v>
      </c>
    </row>
    <row r="138" spans="1:9" ht="15.75" customHeight="1" x14ac:dyDescent="0.25">
      <c r="A138" s="9">
        <v>500354</v>
      </c>
      <c r="B138" s="2">
        <v>22178</v>
      </c>
      <c r="C138" s="22" t="s">
        <v>193</v>
      </c>
      <c r="D138" s="6">
        <v>12</v>
      </c>
      <c r="E138" s="26">
        <v>40244.643750000003</v>
      </c>
      <c r="F138" s="11">
        <v>1.25</v>
      </c>
      <c r="G138" s="9">
        <v>13026</v>
      </c>
      <c r="H138" s="1" t="s">
        <v>9</v>
      </c>
      <c r="I138" s="3">
        <f t="shared" si="2"/>
        <v>15</v>
      </c>
    </row>
    <row r="139" spans="1:9" ht="15.75" customHeight="1" x14ac:dyDescent="0.25">
      <c r="A139" s="9">
        <v>495715</v>
      </c>
      <c r="B139" s="2">
        <v>21179</v>
      </c>
      <c r="C139" s="22" t="s">
        <v>194</v>
      </c>
      <c r="D139" s="6">
        <v>2</v>
      </c>
      <c r="E139" s="26">
        <v>40204.586805555547</v>
      </c>
      <c r="F139" s="11">
        <v>1.25</v>
      </c>
      <c r="G139" s="9">
        <v>13610</v>
      </c>
      <c r="H139" s="1" t="s">
        <v>9</v>
      </c>
      <c r="I139" s="3">
        <f t="shared" si="2"/>
        <v>2.5</v>
      </c>
    </row>
    <row r="140" spans="1:9" ht="15.75" customHeight="1" x14ac:dyDescent="0.25">
      <c r="A140" s="9">
        <v>493948</v>
      </c>
      <c r="B140" s="2">
        <v>48194</v>
      </c>
      <c r="C140" s="22" t="s">
        <v>195</v>
      </c>
      <c r="D140" s="6">
        <v>3</v>
      </c>
      <c r="E140" s="26">
        <v>40186.526388888888</v>
      </c>
      <c r="F140" s="11">
        <v>6.75</v>
      </c>
      <c r="G140" s="9">
        <v>16772</v>
      </c>
      <c r="H140" s="1" t="s">
        <v>9</v>
      </c>
      <c r="I140" s="3">
        <f t="shared" si="2"/>
        <v>20.25</v>
      </c>
    </row>
    <row r="141" spans="1:9" ht="15.75" customHeight="1" x14ac:dyDescent="0.25">
      <c r="A141" s="9">
        <v>513053</v>
      </c>
      <c r="B141" s="2">
        <v>22077</v>
      </c>
      <c r="C141" s="22" t="s">
        <v>196</v>
      </c>
      <c r="D141" s="6">
        <v>12</v>
      </c>
      <c r="E141" s="27" t="s">
        <v>197</v>
      </c>
      <c r="F141" s="11">
        <v>1.65</v>
      </c>
      <c r="G141" s="9">
        <v>16062</v>
      </c>
      <c r="H141" s="1" t="s">
        <v>9</v>
      </c>
      <c r="I141" s="3">
        <f t="shared" si="2"/>
        <v>19.799999999999997</v>
      </c>
    </row>
    <row r="142" spans="1:9" ht="15.75" customHeight="1" x14ac:dyDescent="0.25">
      <c r="A142" s="9">
        <v>496058</v>
      </c>
      <c r="B142" s="2">
        <v>21710</v>
      </c>
      <c r="C142" s="22" t="s">
        <v>198</v>
      </c>
      <c r="D142" s="6">
        <v>4</v>
      </c>
      <c r="E142" s="26">
        <v>40206.636805555558</v>
      </c>
      <c r="F142" s="11">
        <v>4.95</v>
      </c>
      <c r="G142" s="9">
        <v>17115</v>
      </c>
      <c r="H142" s="1" t="s">
        <v>9</v>
      </c>
      <c r="I142" s="3">
        <f t="shared" si="2"/>
        <v>19.8</v>
      </c>
    </row>
    <row r="143" spans="1:9" ht="15.75" customHeight="1" x14ac:dyDescent="0.25">
      <c r="A143" s="9">
        <v>528966</v>
      </c>
      <c r="B143" s="2">
        <v>22112</v>
      </c>
      <c r="C143" s="22" t="s">
        <v>199</v>
      </c>
      <c r="D143" s="6">
        <v>3</v>
      </c>
      <c r="E143" s="26">
        <v>40477.418749999997</v>
      </c>
      <c r="F143" s="11">
        <v>4.95</v>
      </c>
      <c r="G143" s="9">
        <v>16863</v>
      </c>
      <c r="H143" s="1" t="s">
        <v>9</v>
      </c>
      <c r="I143" s="3">
        <f t="shared" si="2"/>
        <v>14.850000000000001</v>
      </c>
    </row>
    <row r="144" spans="1:9" ht="15.75" customHeight="1" x14ac:dyDescent="0.25">
      <c r="A144" s="9">
        <v>521775</v>
      </c>
      <c r="B144" s="2">
        <v>48111</v>
      </c>
      <c r="C144" s="22" t="s">
        <v>200</v>
      </c>
      <c r="D144" s="6">
        <v>4</v>
      </c>
      <c r="E144" s="26">
        <v>40429.526388888888</v>
      </c>
      <c r="F144" s="11">
        <v>7.95</v>
      </c>
      <c r="G144" s="9">
        <v>13728</v>
      </c>
      <c r="H144" s="1" t="s">
        <v>9</v>
      </c>
      <c r="I144" s="3">
        <f t="shared" si="2"/>
        <v>31.8</v>
      </c>
    </row>
    <row r="145" spans="1:9" ht="15.75" customHeight="1" x14ac:dyDescent="0.25">
      <c r="A145" s="9">
        <v>504154</v>
      </c>
      <c r="B145" s="2">
        <v>22528</v>
      </c>
      <c r="C145" s="22" t="s">
        <v>201</v>
      </c>
      <c r="D145" s="6">
        <v>4</v>
      </c>
      <c r="E145" s="26">
        <v>40279.602777777778</v>
      </c>
      <c r="F145" s="11">
        <v>1.25</v>
      </c>
      <c r="G145" s="9">
        <v>15443</v>
      </c>
      <c r="H145" s="1" t="s">
        <v>9</v>
      </c>
      <c r="I145" s="3">
        <f t="shared" si="2"/>
        <v>5</v>
      </c>
    </row>
    <row r="146" spans="1:9" ht="15.75" customHeight="1" x14ac:dyDescent="0.25">
      <c r="A146" s="9">
        <v>494267</v>
      </c>
      <c r="B146" s="2">
        <v>21260</v>
      </c>
      <c r="C146" s="22" t="s">
        <v>202</v>
      </c>
      <c r="D146" s="6">
        <v>1</v>
      </c>
      <c r="E146" s="26">
        <v>40190.71875</v>
      </c>
      <c r="F146" s="11">
        <v>3.25</v>
      </c>
      <c r="G146" s="9">
        <v>14606</v>
      </c>
      <c r="H146" s="1" t="s">
        <v>9</v>
      </c>
      <c r="I146" s="3">
        <f t="shared" si="2"/>
        <v>3.25</v>
      </c>
    </row>
    <row r="147" spans="1:9" ht="15.75" customHeight="1" x14ac:dyDescent="0.25">
      <c r="A147" s="9">
        <v>505479</v>
      </c>
      <c r="B147" s="2">
        <v>22194</v>
      </c>
      <c r="C147" s="22" t="s">
        <v>203</v>
      </c>
      <c r="D147" s="6">
        <v>1</v>
      </c>
      <c r="E147" s="26">
        <v>40290.508333333331</v>
      </c>
      <c r="F147" s="11">
        <v>8.5</v>
      </c>
      <c r="G147" s="9">
        <v>18231</v>
      </c>
      <c r="H147" s="1" t="s">
        <v>9</v>
      </c>
      <c r="I147" s="3">
        <f t="shared" si="2"/>
        <v>8.5</v>
      </c>
    </row>
    <row r="148" spans="1:9" ht="15.75" customHeight="1" x14ac:dyDescent="0.25">
      <c r="A148" s="9">
        <v>507597</v>
      </c>
      <c r="B148" s="2">
        <v>22256</v>
      </c>
      <c r="C148" s="22" t="s">
        <v>204</v>
      </c>
      <c r="D148" s="6">
        <v>12</v>
      </c>
      <c r="E148" s="26">
        <v>40308.556250000001</v>
      </c>
      <c r="F148" s="11">
        <v>1.25</v>
      </c>
      <c r="G148" s="9" t="s">
        <v>205</v>
      </c>
      <c r="H148" s="1" t="s">
        <v>9</v>
      </c>
      <c r="I148" s="3">
        <f t="shared" si="2"/>
        <v>15</v>
      </c>
    </row>
    <row r="149" spans="1:9" ht="15.75" customHeight="1" x14ac:dyDescent="0.25">
      <c r="A149" s="9">
        <v>507996</v>
      </c>
      <c r="B149" s="2">
        <v>22411</v>
      </c>
      <c r="C149" s="22" t="s">
        <v>206</v>
      </c>
      <c r="D149" s="6">
        <v>200</v>
      </c>
      <c r="E149" s="26">
        <v>40310.455555555563</v>
      </c>
      <c r="F149" s="11">
        <v>1.65</v>
      </c>
      <c r="G149" s="9">
        <v>17511</v>
      </c>
      <c r="H149" s="1" t="s">
        <v>9</v>
      </c>
      <c r="I149" s="3">
        <f t="shared" si="2"/>
        <v>330</v>
      </c>
    </row>
    <row r="150" spans="1:9" ht="15.75" customHeight="1" x14ac:dyDescent="0.25">
      <c r="A150" s="9">
        <v>509441</v>
      </c>
      <c r="B150" s="2">
        <v>22470</v>
      </c>
      <c r="C150" s="22" t="s">
        <v>164</v>
      </c>
      <c r="D150" s="6">
        <v>2</v>
      </c>
      <c r="E150" s="26">
        <v>40321.661111111112</v>
      </c>
      <c r="F150" s="11">
        <v>2.95</v>
      </c>
      <c r="G150" s="9">
        <v>16794</v>
      </c>
      <c r="H150" s="1" t="s">
        <v>9</v>
      </c>
      <c r="I150" s="3">
        <f t="shared" si="2"/>
        <v>5.9</v>
      </c>
    </row>
    <row r="151" spans="1:9" ht="15.75" customHeight="1" x14ac:dyDescent="0.25">
      <c r="A151" s="9">
        <v>520700</v>
      </c>
      <c r="B151" s="2">
        <v>22429</v>
      </c>
      <c r="C151" s="22" t="s">
        <v>207</v>
      </c>
      <c r="D151" s="6">
        <v>1</v>
      </c>
      <c r="E151" s="26">
        <v>40419.479861111111</v>
      </c>
      <c r="F151" s="11">
        <v>4.25</v>
      </c>
      <c r="G151" s="9">
        <v>15976</v>
      </c>
      <c r="H151" s="1" t="s">
        <v>9</v>
      </c>
      <c r="I151" s="3">
        <f t="shared" si="2"/>
        <v>4.25</v>
      </c>
    </row>
    <row r="152" spans="1:9" ht="15.75" customHeight="1" x14ac:dyDescent="0.25">
      <c r="A152" s="9">
        <v>533761</v>
      </c>
      <c r="B152" s="2">
        <v>22835</v>
      </c>
      <c r="C152" s="22" t="s">
        <v>208</v>
      </c>
      <c r="D152" s="6">
        <v>1</v>
      </c>
      <c r="E152" s="26">
        <v>40500.619444444441</v>
      </c>
      <c r="F152" s="11">
        <v>4.6500000000000004</v>
      </c>
      <c r="G152" s="9">
        <v>17841</v>
      </c>
      <c r="H152" s="1" t="s">
        <v>9</v>
      </c>
      <c r="I152" s="3">
        <f t="shared" si="2"/>
        <v>4.6500000000000004</v>
      </c>
    </row>
    <row r="153" spans="1:9" ht="15.75" customHeight="1" x14ac:dyDescent="0.25">
      <c r="A153" s="9" t="s">
        <v>209</v>
      </c>
      <c r="B153" s="2">
        <v>21658</v>
      </c>
      <c r="C153" s="22" t="s">
        <v>210</v>
      </c>
      <c r="D153" s="6">
        <v>-10</v>
      </c>
      <c r="E153" s="26">
        <v>40259.701388888891</v>
      </c>
      <c r="F153" s="11">
        <v>3.95</v>
      </c>
      <c r="G153" s="9">
        <v>17539</v>
      </c>
      <c r="H153" s="1" t="s">
        <v>9</v>
      </c>
      <c r="I153" s="3">
        <f t="shared" si="2"/>
        <v>-39.5</v>
      </c>
    </row>
    <row r="154" spans="1:9" ht="15.75" customHeight="1" x14ac:dyDescent="0.25">
      <c r="A154" s="9">
        <v>520904</v>
      </c>
      <c r="B154" s="2">
        <v>22759</v>
      </c>
      <c r="C154" s="22" t="s">
        <v>211</v>
      </c>
      <c r="D154" s="6">
        <v>12</v>
      </c>
      <c r="E154" s="26">
        <v>40422.427083333343</v>
      </c>
      <c r="F154" s="11" t="s">
        <v>212</v>
      </c>
      <c r="G154" s="9">
        <v>16607</v>
      </c>
      <c r="H154" s="1" t="s">
        <v>9</v>
      </c>
      <c r="I154" s="3">
        <f t="shared" si="2"/>
        <v>19.799999999999997</v>
      </c>
    </row>
    <row r="155" spans="1:9" ht="15.75" customHeight="1" x14ac:dyDescent="0.25">
      <c r="A155" s="9">
        <v>534656</v>
      </c>
      <c r="B155" s="2">
        <v>22759</v>
      </c>
      <c r="C155" s="22" t="s">
        <v>211</v>
      </c>
      <c r="D155" s="6">
        <v>3</v>
      </c>
      <c r="E155" s="26">
        <v>40505.566666666673</v>
      </c>
      <c r="F155" s="11">
        <v>1.65</v>
      </c>
      <c r="G155" s="9">
        <v>13869</v>
      </c>
      <c r="H155" s="1" t="s">
        <v>9</v>
      </c>
      <c r="I155" s="3">
        <f t="shared" si="2"/>
        <v>4.9499999999999993</v>
      </c>
    </row>
    <row r="156" spans="1:9" ht="15.75" customHeight="1" x14ac:dyDescent="0.25">
      <c r="A156" s="9">
        <v>511059</v>
      </c>
      <c r="B156" s="2">
        <v>21652</v>
      </c>
      <c r="C156" s="22" t="s">
        <v>213</v>
      </c>
      <c r="D156" s="6">
        <v>6</v>
      </c>
      <c r="E156" s="26">
        <v>40335.518750000003</v>
      </c>
      <c r="F156" s="11">
        <v>1.95</v>
      </c>
      <c r="G156" s="9">
        <v>16466</v>
      </c>
      <c r="H156" s="1" t="s">
        <v>9</v>
      </c>
      <c r="I156" s="3">
        <f t="shared" si="2"/>
        <v>11.7</v>
      </c>
    </row>
    <row r="157" spans="1:9" ht="15.75" customHeight="1" x14ac:dyDescent="0.25">
      <c r="A157" s="9">
        <v>523013</v>
      </c>
      <c r="B157" s="2">
        <v>21135</v>
      </c>
      <c r="C157" s="22" t="s">
        <v>214</v>
      </c>
      <c r="D157" s="6">
        <v>16</v>
      </c>
      <c r="E157" s="26">
        <v>40441.427083333343</v>
      </c>
      <c r="F157" s="11">
        <v>1.69</v>
      </c>
      <c r="G157" s="9">
        <v>15599</v>
      </c>
      <c r="H157" s="1" t="s">
        <v>9</v>
      </c>
      <c r="I157" s="3">
        <f t="shared" si="2"/>
        <v>27.04</v>
      </c>
    </row>
    <row r="158" spans="1:9" ht="15.75" customHeight="1" x14ac:dyDescent="0.25">
      <c r="A158" s="9">
        <v>499942</v>
      </c>
      <c r="B158" s="2">
        <v>21304</v>
      </c>
      <c r="C158" s="22" t="s">
        <v>215</v>
      </c>
      <c r="D158" s="6">
        <v>6</v>
      </c>
      <c r="E158" s="26">
        <v>40240.521527777782</v>
      </c>
      <c r="F158" s="11">
        <v>4.95</v>
      </c>
      <c r="G158" s="9">
        <v>13873</v>
      </c>
      <c r="H158" s="1" t="s">
        <v>9</v>
      </c>
      <c r="I158" s="3">
        <f t="shared" si="2"/>
        <v>29.700000000000003</v>
      </c>
    </row>
    <row r="159" spans="1:9" ht="15.75" customHeight="1" x14ac:dyDescent="0.25">
      <c r="A159" s="9">
        <v>495294</v>
      </c>
      <c r="B159" s="2">
        <v>21212</v>
      </c>
      <c r="C159" s="22" t="s">
        <v>125</v>
      </c>
      <c r="D159" s="6">
        <v>24</v>
      </c>
      <c r="E159" s="26">
        <v>40200.559027777781</v>
      </c>
      <c r="F159" s="11">
        <v>0.55000000000000004</v>
      </c>
      <c r="G159" s="9">
        <v>17460</v>
      </c>
      <c r="H159" s="1" t="s">
        <v>9</v>
      </c>
      <c r="I159" s="3">
        <f t="shared" si="2"/>
        <v>13.200000000000001</v>
      </c>
    </row>
    <row r="160" spans="1:9" ht="15.75" customHeight="1" x14ac:dyDescent="0.25">
      <c r="A160" s="9">
        <v>520722</v>
      </c>
      <c r="B160" s="2" t="s">
        <v>153</v>
      </c>
      <c r="C160" s="22" t="s">
        <v>154</v>
      </c>
      <c r="D160" s="6">
        <v>10</v>
      </c>
      <c r="E160" s="26">
        <v>40419.613888888889</v>
      </c>
      <c r="F160" s="11">
        <v>2.95</v>
      </c>
      <c r="G160" s="9">
        <v>18149</v>
      </c>
      <c r="H160" s="1" t="s">
        <v>9</v>
      </c>
      <c r="I160" s="3">
        <f t="shared" si="2"/>
        <v>29.5</v>
      </c>
    </row>
    <row r="161" spans="1:9" ht="15.75" customHeight="1" x14ac:dyDescent="0.25">
      <c r="A161" s="9">
        <v>532985</v>
      </c>
      <c r="B161" s="2">
        <v>22904</v>
      </c>
      <c r="C161" s="22" t="s">
        <v>216</v>
      </c>
      <c r="D161" s="6">
        <v>4</v>
      </c>
      <c r="E161" s="26">
        <v>40497.580555555563</v>
      </c>
      <c r="F161" s="11">
        <v>2.95</v>
      </c>
      <c r="G161" s="9">
        <v>12733</v>
      </c>
      <c r="H161" s="1" t="s">
        <v>980</v>
      </c>
      <c r="I161" s="3">
        <f t="shared" si="2"/>
        <v>11.8</v>
      </c>
    </row>
    <row r="162" spans="1:9" ht="15.75" customHeight="1" x14ac:dyDescent="0.25">
      <c r="A162" s="9">
        <v>514682</v>
      </c>
      <c r="B162" s="2">
        <v>37447</v>
      </c>
      <c r="C162" s="22" t="s">
        <v>218</v>
      </c>
      <c r="D162" s="6">
        <v>12</v>
      </c>
      <c r="E162" s="26">
        <v>40364.580555555563</v>
      </c>
      <c r="F162" s="11">
        <v>1.49</v>
      </c>
      <c r="G162" s="9">
        <v>12693</v>
      </c>
      <c r="H162" s="1" t="s">
        <v>17</v>
      </c>
      <c r="I162" s="3">
        <f t="shared" si="2"/>
        <v>17.88</v>
      </c>
    </row>
    <row r="163" spans="1:9" ht="15.75" customHeight="1" x14ac:dyDescent="0.25">
      <c r="A163" s="9">
        <v>522248</v>
      </c>
      <c r="B163" s="2">
        <v>84946</v>
      </c>
      <c r="C163" s="22" t="s">
        <v>24</v>
      </c>
      <c r="D163" s="6">
        <v>6</v>
      </c>
      <c r="E163" s="26">
        <v>40434.513194444437</v>
      </c>
      <c r="F163" s="11">
        <v>1.25</v>
      </c>
      <c r="G163" s="9">
        <v>13593</v>
      </c>
      <c r="H163" s="1" t="s">
        <v>9</v>
      </c>
      <c r="I163" s="3">
        <f t="shared" si="2"/>
        <v>7.5</v>
      </c>
    </row>
    <row r="164" spans="1:9" ht="15.75" customHeight="1" x14ac:dyDescent="0.25">
      <c r="A164" s="9">
        <v>497383</v>
      </c>
      <c r="B164" s="2">
        <v>85216</v>
      </c>
      <c r="C164" s="22" t="s">
        <v>219</v>
      </c>
      <c r="D164" s="6">
        <v>12</v>
      </c>
      <c r="E164" s="26">
        <v>40218.500694444447</v>
      </c>
      <c r="F164" s="11">
        <v>0.65</v>
      </c>
      <c r="G164" s="9">
        <v>12621</v>
      </c>
      <c r="H164" s="1" t="s">
        <v>17</v>
      </c>
      <c r="I164" s="3">
        <f t="shared" si="2"/>
        <v>7.8000000000000007</v>
      </c>
    </row>
    <row r="165" spans="1:9" ht="15.75" customHeight="1" x14ac:dyDescent="0.25">
      <c r="A165" s="9">
        <v>501614</v>
      </c>
      <c r="B165" s="2">
        <v>21378</v>
      </c>
      <c r="C165" s="22" t="s">
        <v>221</v>
      </c>
      <c r="D165" s="6">
        <v>144</v>
      </c>
      <c r="E165" s="26">
        <v>40255.456944444442</v>
      </c>
      <c r="F165" s="11">
        <v>0.65</v>
      </c>
      <c r="G165" s="9">
        <v>13694</v>
      </c>
      <c r="H165" s="1" t="s">
        <v>9</v>
      </c>
      <c r="I165" s="3">
        <f t="shared" si="2"/>
        <v>93.600000000000009</v>
      </c>
    </row>
    <row r="166" spans="1:9" ht="15.75" customHeight="1" x14ac:dyDescent="0.25">
      <c r="A166" s="9">
        <v>508652</v>
      </c>
      <c r="B166" s="2">
        <v>37448</v>
      </c>
      <c r="C166" s="22" t="s">
        <v>222</v>
      </c>
      <c r="D166" s="6">
        <v>1</v>
      </c>
      <c r="E166" s="26">
        <v>40315.658333333333</v>
      </c>
      <c r="F166" s="11">
        <v>1.49</v>
      </c>
      <c r="G166" s="9">
        <v>16400</v>
      </c>
      <c r="H166" s="1" t="s">
        <v>9</v>
      </c>
      <c r="I166" s="3">
        <f t="shared" si="2"/>
        <v>1.49</v>
      </c>
    </row>
    <row r="167" spans="1:9" ht="15.75" customHeight="1" x14ac:dyDescent="0.25">
      <c r="A167" s="9">
        <v>533038</v>
      </c>
      <c r="B167" s="2" t="s">
        <v>223</v>
      </c>
      <c r="C167" s="22" t="s">
        <v>224</v>
      </c>
      <c r="D167" s="6">
        <v>2</v>
      </c>
      <c r="E167" s="26">
        <v>40497.675694444442</v>
      </c>
      <c r="F167" s="11">
        <v>7.95</v>
      </c>
      <c r="G167" s="9">
        <v>14065</v>
      </c>
      <c r="H167" s="1" t="s">
        <v>9</v>
      </c>
      <c r="I167" s="3">
        <f t="shared" si="2"/>
        <v>15.9</v>
      </c>
    </row>
    <row r="168" spans="1:9" ht="15.75" customHeight="1" x14ac:dyDescent="0.25">
      <c r="A168" s="9">
        <v>497909</v>
      </c>
      <c r="B168" s="2">
        <v>22058</v>
      </c>
      <c r="C168" s="22" t="s">
        <v>225</v>
      </c>
      <c r="D168" s="6">
        <v>1</v>
      </c>
      <c r="E168" s="26">
        <v>40223.568749999999</v>
      </c>
      <c r="F168" s="11">
        <v>1.49</v>
      </c>
      <c r="G168" s="9">
        <v>15272</v>
      </c>
      <c r="H168" s="1" t="s">
        <v>9</v>
      </c>
      <c r="I168" s="3">
        <f t="shared" si="2"/>
        <v>1.49</v>
      </c>
    </row>
    <row r="169" spans="1:9" ht="15.75" customHeight="1" x14ac:dyDescent="0.25">
      <c r="A169" s="9">
        <v>501267</v>
      </c>
      <c r="B169" s="2">
        <v>22292</v>
      </c>
      <c r="C169" s="22" t="s">
        <v>226</v>
      </c>
      <c r="D169" s="6">
        <v>4</v>
      </c>
      <c r="E169" s="26">
        <v>40252.537499999999</v>
      </c>
      <c r="F169" s="11">
        <v>1.45</v>
      </c>
      <c r="G169" s="9">
        <v>17085</v>
      </c>
      <c r="H169" s="1" t="s">
        <v>9</v>
      </c>
      <c r="I169" s="3">
        <f t="shared" si="2"/>
        <v>5.8</v>
      </c>
    </row>
    <row r="170" spans="1:9" ht="15.75" customHeight="1" x14ac:dyDescent="0.25">
      <c r="A170" s="9">
        <v>501710</v>
      </c>
      <c r="B170" s="2">
        <v>22151</v>
      </c>
      <c r="C170" s="22" t="s">
        <v>227</v>
      </c>
      <c r="D170" s="6">
        <v>24</v>
      </c>
      <c r="E170" s="26">
        <v>40256.421527777777</v>
      </c>
      <c r="F170" s="11">
        <v>0.42</v>
      </c>
      <c r="G170" s="9">
        <v>17738</v>
      </c>
      <c r="H170" s="1" t="s">
        <v>9</v>
      </c>
      <c r="I170" s="3">
        <f t="shared" si="2"/>
        <v>10.08</v>
      </c>
    </row>
    <row r="171" spans="1:9" ht="15.75" customHeight="1" x14ac:dyDescent="0.25">
      <c r="A171" s="9">
        <v>513559</v>
      </c>
      <c r="B171" s="2">
        <v>84789</v>
      </c>
      <c r="C171" s="22" t="s">
        <v>228</v>
      </c>
      <c r="D171" s="6">
        <v>2</v>
      </c>
      <c r="E171" s="26">
        <v>40354.565972222219</v>
      </c>
      <c r="F171" s="11">
        <v>3.75</v>
      </c>
      <c r="G171" s="9">
        <v>17804</v>
      </c>
      <c r="H171" s="1" t="s">
        <v>9</v>
      </c>
      <c r="I171" s="3">
        <f t="shared" si="2"/>
        <v>7.5</v>
      </c>
    </row>
    <row r="172" spans="1:9" ht="15.75" customHeight="1" x14ac:dyDescent="0.25">
      <c r="A172" s="9">
        <v>509759</v>
      </c>
      <c r="B172" s="2">
        <v>20726</v>
      </c>
      <c r="C172" s="22" t="s">
        <v>229</v>
      </c>
      <c r="D172" s="6">
        <v>10</v>
      </c>
      <c r="E172" s="26">
        <v>40323.63958333333</v>
      </c>
      <c r="F172" s="11">
        <v>1.65</v>
      </c>
      <c r="G172" s="9">
        <v>14930</v>
      </c>
      <c r="H172" s="1" t="s">
        <v>230</v>
      </c>
      <c r="I172" s="3">
        <f t="shared" si="2"/>
        <v>16.5</v>
      </c>
    </row>
    <row r="173" spans="1:9" ht="15.75" customHeight="1" x14ac:dyDescent="0.25">
      <c r="A173" s="9">
        <v>532681</v>
      </c>
      <c r="B173" s="2">
        <v>22132</v>
      </c>
      <c r="C173" s="22" t="s">
        <v>231</v>
      </c>
      <c r="D173" s="6">
        <v>1</v>
      </c>
      <c r="E173" s="26">
        <v>40496.525000000001</v>
      </c>
      <c r="F173" s="11">
        <v>0.85</v>
      </c>
      <c r="G173" s="9">
        <v>17561</v>
      </c>
      <c r="H173" s="1" t="s">
        <v>9</v>
      </c>
      <c r="I173" s="3">
        <f t="shared" si="2"/>
        <v>0.85</v>
      </c>
    </row>
    <row r="174" spans="1:9" ht="15.75" customHeight="1" x14ac:dyDescent="0.25">
      <c r="A174" s="9">
        <v>500362</v>
      </c>
      <c r="B174" s="2" t="s">
        <v>232</v>
      </c>
      <c r="C174" s="22" t="s">
        <v>233</v>
      </c>
      <c r="D174" s="6">
        <v>4</v>
      </c>
      <c r="E174" s="26">
        <v>40244.675000000003</v>
      </c>
      <c r="F174" s="11">
        <v>2.95</v>
      </c>
      <c r="G174" s="9">
        <v>17449</v>
      </c>
      <c r="H174" s="1" t="s">
        <v>9</v>
      </c>
      <c r="I174" s="3">
        <f t="shared" si="2"/>
        <v>11.8</v>
      </c>
    </row>
    <row r="175" spans="1:9" ht="15.75" customHeight="1" x14ac:dyDescent="0.25">
      <c r="A175" s="9">
        <v>531735</v>
      </c>
      <c r="B175" s="2">
        <v>22833</v>
      </c>
      <c r="C175" s="22" t="s">
        <v>234</v>
      </c>
      <c r="D175" s="6">
        <v>1</v>
      </c>
      <c r="E175" s="26">
        <v>40491.519444444442</v>
      </c>
      <c r="F175" s="11">
        <v>49.95</v>
      </c>
      <c r="G175" s="9">
        <v>17428</v>
      </c>
      <c r="H175" s="1" t="s">
        <v>9</v>
      </c>
      <c r="I175" s="3">
        <f t="shared" si="2"/>
        <v>49.95</v>
      </c>
    </row>
    <row r="176" spans="1:9" ht="15.75" customHeight="1" x14ac:dyDescent="0.25">
      <c r="A176" s="9">
        <v>521989</v>
      </c>
      <c r="B176" s="2">
        <v>22940</v>
      </c>
      <c r="C176" s="22" t="s">
        <v>235</v>
      </c>
      <c r="D176" s="6">
        <v>4</v>
      </c>
      <c r="E176" s="26">
        <v>40431.449305555558</v>
      </c>
      <c r="F176" s="11">
        <v>4.25</v>
      </c>
      <c r="G176" s="9">
        <v>12921</v>
      </c>
      <c r="H176" s="1" t="s">
        <v>9</v>
      </c>
      <c r="I176" s="3">
        <f t="shared" si="2"/>
        <v>17</v>
      </c>
    </row>
    <row r="177" spans="1:9" ht="15.75" customHeight="1" x14ac:dyDescent="0.25">
      <c r="A177" s="9">
        <v>534516</v>
      </c>
      <c r="B177" s="2">
        <v>22703</v>
      </c>
      <c r="C177" s="22" t="s">
        <v>236</v>
      </c>
      <c r="D177" s="6">
        <v>6</v>
      </c>
      <c r="E177" s="26">
        <v>40505.5</v>
      </c>
      <c r="F177" s="11">
        <v>2.1</v>
      </c>
      <c r="G177" s="9">
        <v>15235</v>
      </c>
      <c r="H177" s="1" t="s">
        <v>9</v>
      </c>
      <c r="I177" s="3">
        <f t="shared" si="2"/>
        <v>12.600000000000001</v>
      </c>
    </row>
    <row r="178" spans="1:9" ht="15.75" customHeight="1" x14ac:dyDescent="0.25">
      <c r="A178" s="9">
        <v>512280</v>
      </c>
      <c r="B178" s="2" t="s">
        <v>237</v>
      </c>
      <c r="C178" s="22" t="s">
        <v>238</v>
      </c>
      <c r="D178" s="6">
        <v>12</v>
      </c>
      <c r="E178" s="26">
        <v>40343.585416666669</v>
      </c>
      <c r="F178" s="11">
        <v>1.25</v>
      </c>
      <c r="G178" s="9">
        <v>14911</v>
      </c>
      <c r="H178" s="1" t="s">
        <v>978</v>
      </c>
      <c r="I178" s="3">
        <f t="shared" si="2"/>
        <v>15</v>
      </c>
    </row>
    <row r="179" spans="1:9" ht="15.75" customHeight="1" x14ac:dyDescent="0.25">
      <c r="A179" s="9">
        <v>500125</v>
      </c>
      <c r="B179" s="2">
        <v>21586</v>
      </c>
      <c r="C179" s="22" t="s">
        <v>239</v>
      </c>
      <c r="D179" s="6">
        <v>12</v>
      </c>
      <c r="E179" s="26">
        <v>40241.60833333333</v>
      </c>
      <c r="F179" s="11">
        <v>2.5499999999999998</v>
      </c>
      <c r="G179" s="9">
        <v>14426</v>
      </c>
      <c r="H179" s="1" t="s">
        <v>9</v>
      </c>
      <c r="I179" s="3">
        <f t="shared" si="2"/>
        <v>30.599999999999998</v>
      </c>
    </row>
    <row r="180" spans="1:9" ht="15.75" customHeight="1" x14ac:dyDescent="0.25">
      <c r="A180" s="9">
        <v>493436</v>
      </c>
      <c r="B180" s="2">
        <v>20869</v>
      </c>
      <c r="C180" s="22" t="s">
        <v>240</v>
      </c>
      <c r="D180" s="6">
        <v>240</v>
      </c>
      <c r="E180" s="26">
        <v>40182.543749999997</v>
      </c>
      <c r="F180" s="11">
        <v>0.38</v>
      </c>
      <c r="G180" s="9">
        <v>13694</v>
      </c>
      <c r="H180" s="1" t="s">
        <v>9</v>
      </c>
      <c r="I180" s="3">
        <f t="shared" si="2"/>
        <v>91.2</v>
      </c>
    </row>
    <row r="181" spans="1:9" ht="15.75" customHeight="1" x14ac:dyDescent="0.25">
      <c r="A181" s="9" t="s">
        <v>241</v>
      </c>
      <c r="B181" s="2">
        <v>37500</v>
      </c>
      <c r="C181" s="22" t="s">
        <v>242</v>
      </c>
      <c r="D181" s="6">
        <v>-4</v>
      </c>
      <c r="E181" s="26">
        <v>40385.570833333331</v>
      </c>
      <c r="F181" s="11">
        <v>9.9499999999999993</v>
      </c>
      <c r="G181" s="9">
        <v>16555</v>
      </c>
      <c r="H181" s="1" t="s">
        <v>9</v>
      </c>
      <c r="I181" s="3">
        <f t="shared" si="2"/>
        <v>-39.799999999999997</v>
      </c>
    </row>
    <row r="182" spans="1:9" ht="15.75" customHeight="1" x14ac:dyDescent="0.25">
      <c r="A182" s="9">
        <v>497341</v>
      </c>
      <c r="B182" s="2">
        <v>21213</v>
      </c>
      <c r="C182" s="22" t="s">
        <v>243</v>
      </c>
      <c r="D182" s="6">
        <v>24</v>
      </c>
      <c r="E182" s="26">
        <v>40217.645833333343</v>
      </c>
      <c r="F182" s="11">
        <v>0.55000000000000004</v>
      </c>
      <c r="G182" s="9">
        <v>13819</v>
      </c>
      <c r="H182" s="1" t="s">
        <v>9</v>
      </c>
      <c r="I182" s="3">
        <f t="shared" si="2"/>
        <v>13.200000000000001</v>
      </c>
    </row>
    <row r="183" spans="1:9" ht="15.75" customHeight="1" x14ac:dyDescent="0.25">
      <c r="A183" s="9">
        <v>532305</v>
      </c>
      <c r="B183" s="2">
        <v>22956</v>
      </c>
      <c r="C183" s="22" t="s">
        <v>244</v>
      </c>
      <c r="D183" s="6">
        <v>48</v>
      </c>
      <c r="E183" s="26">
        <v>40493.599305555559</v>
      </c>
      <c r="F183" s="11">
        <v>1.85</v>
      </c>
      <c r="G183" s="9">
        <v>12356</v>
      </c>
      <c r="H183" s="1" t="s">
        <v>245</v>
      </c>
      <c r="I183" s="3">
        <f t="shared" si="2"/>
        <v>88.800000000000011</v>
      </c>
    </row>
    <row r="184" spans="1:9" ht="15.75" customHeight="1" x14ac:dyDescent="0.25">
      <c r="A184" s="9">
        <v>530163</v>
      </c>
      <c r="B184" s="2">
        <v>22665</v>
      </c>
      <c r="C184" s="22" t="s">
        <v>102</v>
      </c>
      <c r="D184" s="6">
        <v>12</v>
      </c>
      <c r="E184" s="27" t="s">
        <v>246</v>
      </c>
      <c r="F184" s="11">
        <v>2.95</v>
      </c>
      <c r="G184" s="9">
        <v>17739</v>
      </c>
      <c r="H184" s="1" t="s">
        <v>9</v>
      </c>
      <c r="I184" s="3">
        <f t="shared" si="2"/>
        <v>35.400000000000006</v>
      </c>
    </row>
    <row r="185" spans="1:9" ht="15.75" customHeight="1" x14ac:dyDescent="0.25">
      <c r="A185" s="9">
        <v>525860</v>
      </c>
      <c r="B185" s="2">
        <v>22633</v>
      </c>
      <c r="C185" s="22" t="s">
        <v>247</v>
      </c>
      <c r="D185" s="6">
        <v>12</v>
      </c>
      <c r="E185" s="26">
        <v>40458.554861111108</v>
      </c>
      <c r="F185" s="11">
        <v>2.1</v>
      </c>
      <c r="G185" s="9">
        <v>13089</v>
      </c>
      <c r="H185" s="1" t="s">
        <v>9</v>
      </c>
      <c r="I185" s="3">
        <f t="shared" si="2"/>
        <v>25.200000000000003</v>
      </c>
    </row>
    <row r="186" spans="1:9" ht="15.75" customHeight="1" x14ac:dyDescent="0.25">
      <c r="A186" s="9">
        <v>525002</v>
      </c>
      <c r="B186" s="2">
        <v>21564</v>
      </c>
      <c r="C186" s="22" t="s">
        <v>248</v>
      </c>
      <c r="D186" s="6">
        <v>6</v>
      </c>
      <c r="E186" s="26">
        <v>40454.435416666667</v>
      </c>
      <c r="F186" s="11">
        <v>2.95</v>
      </c>
      <c r="G186" s="9">
        <v>17022</v>
      </c>
      <c r="H186" s="1" t="s">
        <v>9</v>
      </c>
      <c r="I186" s="3">
        <f t="shared" si="2"/>
        <v>17.700000000000003</v>
      </c>
    </row>
    <row r="187" spans="1:9" ht="15.75" customHeight="1" x14ac:dyDescent="0.25">
      <c r="A187" s="9">
        <v>507691</v>
      </c>
      <c r="B187" s="2">
        <v>20992</v>
      </c>
      <c r="C187" s="22" t="s">
        <v>249</v>
      </c>
      <c r="D187" s="6">
        <v>4</v>
      </c>
      <c r="E187" s="26">
        <v>40309.429861111108</v>
      </c>
      <c r="F187" s="11">
        <v>0.85</v>
      </c>
      <c r="G187" s="9">
        <v>14395</v>
      </c>
      <c r="H187" s="1" t="s">
        <v>9</v>
      </c>
      <c r="I187" s="3">
        <f t="shared" si="2"/>
        <v>3.4</v>
      </c>
    </row>
    <row r="188" spans="1:9" ht="15.75" customHeight="1" x14ac:dyDescent="0.25">
      <c r="A188" s="9">
        <v>525172</v>
      </c>
      <c r="B188" s="2">
        <v>22501</v>
      </c>
      <c r="C188" s="22" t="s">
        <v>250</v>
      </c>
      <c r="D188" s="6">
        <v>2</v>
      </c>
      <c r="E188" s="26">
        <v>40455.515277777777</v>
      </c>
      <c r="F188" s="11">
        <v>9.9499999999999993</v>
      </c>
      <c r="G188" s="9">
        <v>15596</v>
      </c>
      <c r="H188" s="1" t="s">
        <v>9</v>
      </c>
      <c r="I188" s="3">
        <f t="shared" si="2"/>
        <v>19.899999999999999</v>
      </c>
    </row>
    <row r="189" spans="1:9" ht="15.75" customHeight="1" x14ac:dyDescent="0.25">
      <c r="A189" s="9">
        <v>492216</v>
      </c>
      <c r="B189" s="2">
        <v>84869</v>
      </c>
      <c r="C189" s="22" t="s">
        <v>251</v>
      </c>
      <c r="D189" s="6">
        <v>12</v>
      </c>
      <c r="E189" s="26">
        <v>40162.725694444453</v>
      </c>
      <c r="F189" s="11">
        <v>1.95</v>
      </c>
      <c r="G189" s="9">
        <v>15641</v>
      </c>
      <c r="H189" s="1" t="s">
        <v>9</v>
      </c>
      <c r="I189" s="3">
        <f t="shared" si="2"/>
        <v>23.4</v>
      </c>
    </row>
    <row r="190" spans="1:9" ht="15.75" customHeight="1" x14ac:dyDescent="0.25">
      <c r="A190" s="9">
        <v>490008</v>
      </c>
      <c r="B190" s="2">
        <v>22151</v>
      </c>
      <c r="C190" s="22" t="s">
        <v>227</v>
      </c>
      <c r="D190" s="6">
        <v>2</v>
      </c>
      <c r="E190" s="26">
        <v>40150.506944444453</v>
      </c>
      <c r="F190" s="11">
        <v>0.42</v>
      </c>
      <c r="G190" s="9">
        <v>15768</v>
      </c>
      <c r="H190" s="1" t="s">
        <v>9</v>
      </c>
      <c r="I190" s="3">
        <f t="shared" si="2"/>
        <v>0.84</v>
      </c>
    </row>
    <row r="191" spans="1:9" ht="15.75" customHeight="1" x14ac:dyDescent="0.25">
      <c r="A191" s="9" t="s">
        <v>252</v>
      </c>
      <c r="B191" s="2">
        <v>37448</v>
      </c>
      <c r="C191" s="22" t="s">
        <v>222</v>
      </c>
      <c r="D191" s="6">
        <v>24</v>
      </c>
      <c r="E191" s="26">
        <v>40150.663888888892</v>
      </c>
      <c r="F191" s="11">
        <v>1.49</v>
      </c>
      <c r="G191" s="9">
        <v>12949</v>
      </c>
      <c r="H191" s="1" t="s">
        <v>9</v>
      </c>
      <c r="I191" s="3">
        <f t="shared" si="2"/>
        <v>35.76</v>
      </c>
    </row>
    <row r="192" spans="1:9" ht="15.75" customHeight="1" x14ac:dyDescent="0.25">
      <c r="A192" s="9">
        <v>497346</v>
      </c>
      <c r="B192" s="2">
        <v>21843</v>
      </c>
      <c r="C192" s="22" t="s">
        <v>253</v>
      </c>
      <c r="D192" s="6">
        <v>3</v>
      </c>
      <c r="E192" s="26">
        <v>40217.658333333333</v>
      </c>
      <c r="F192" s="11">
        <v>10.95</v>
      </c>
      <c r="G192" s="9">
        <v>16551</v>
      </c>
      <c r="H192" s="1" t="s">
        <v>9</v>
      </c>
      <c r="I192" s="3">
        <f t="shared" si="2"/>
        <v>32.849999999999994</v>
      </c>
    </row>
    <row r="193" spans="1:9" ht="15.75" customHeight="1" x14ac:dyDescent="0.25">
      <c r="A193" s="9">
        <v>506718</v>
      </c>
      <c r="B193" s="2">
        <v>22607</v>
      </c>
      <c r="C193" s="22" t="s">
        <v>254</v>
      </c>
      <c r="D193" s="6">
        <v>2</v>
      </c>
      <c r="E193" s="26">
        <v>40302.375694444447</v>
      </c>
      <c r="F193" s="11">
        <v>8.5</v>
      </c>
      <c r="G193" s="9">
        <v>17091</v>
      </c>
      <c r="H193" s="1" t="s">
        <v>9</v>
      </c>
      <c r="I193" s="3">
        <f t="shared" si="2"/>
        <v>17</v>
      </c>
    </row>
    <row r="194" spans="1:9" ht="15.75" customHeight="1" x14ac:dyDescent="0.25">
      <c r="A194" s="9">
        <v>526462</v>
      </c>
      <c r="B194" s="2">
        <v>22441</v>
      </c>
      <c r="C194" s="22" t="s">
        <v>255</v>
      </c>
      <c r="D194" s="6">
        <v>3</v>
      </c>
      <c r="E194" s="26">
        <v>40462.676388888889</v>
      </c>
      <c r="F194" s="11">
        <v>2.1</v>
      </c>
      <c r="G194" s="9">
        <v>15024</v>
      </c>
      <c r="H194" s="1" t="s">
        <v>9</v>
      </c>
      <c r="I194" s="3">
        <f t="shared" ref="I194:I257" si="3">(D194 *F194)</f>
        <v>6.3000000000000007</v>
      </c>
    </row>
    <row r="195" spans="1:9" ht="15.75" customHeight="1" x14ac:dyDescent="0.25">
      <c r="A195" s="9">
        <v>499900</v>
      </c>
      <c r="B195" s="2">
        <v>85200</v>
      </c>
      <c r="C195" s="22" t="s">
        <v>256</v>
      </c>
      <c r="D195" s="6">
        <v>12</v>
      </c>
      <c r="E195" s="26">
        <v>40240.501388888893</v>
      </c>
      <c r="F195" s="11">
        <v>1.25</v>
      </c>
      <c r="G195" s="9">
        <v>14194</v>
      </c>
      <c r="H195" s="1" t="s">
        <v>9</v>
      </c>
      <c r="I195" s="3">
        <f t="shared" si="3"/>
        <v>15</v>
      </c>
    </row>
    <row r="196" spans="1:9" ht="15.75" customHeight="1" x14ac:dyDescent="0.25">
      <c r="A196" s="9">
        <v>495029</v>
      </c>
      <c r="B196" s="2">
        <v>21790</v>
      </c>
      <c r="C196" s="22" t="s">
        <v>257</v>
      </c>
      <c r="D196" s="6">
        <v>3</v>
      </c>
      <c r="E196" s="26">
        <v>40198.585416666669</v>
      </c>
      <c r="F196" s="11">
        <v>0.85</v>
      </c>
      <c r="G196" s="9">
        <v>16085</v>
      </c>
      <c r="H196" s="1" t="s">
        <v>9</v>
      </c>
      <c r="I196" s="3">
        <f t="shared" si="3"/>
        <v>2.5499999999999998</v>
      </c>
    </row>
    <row r="197" spans="1:9" ht="15.75" customHeight="1" x14ac:dyDescent="0.25">
      <c r="A197" s="9">
        <v>534656</v>
      </c>
      <c r="B197" s="2">
        <v>22576</v>
      </c>
      <c r="C197" s="22" t="s">
        <v>258</v>
      </c>
      <c r="D197" s="6">
        <v>4</v>
      </c>
      <c r="E197" s="26">
        <v>40505.566666666673</v>
      </c>
      <c r="F197" s="11">
        <v>0.85</v>
      </c>
      <c r="G197" s="9">
        <v>13869</v>
      </c>
      <c r="H197" s="1" t="s">
        <v>9</v>
      </c>
      <c r="I197" s="3">
        <f t="shared" si="3"/>
        <v>3.4</v>
      </c>
    </row>
    <row r="198" spans="1:9" ht="15.75" customHeight="1" x14ac:dyDescent="0.25">
      <c r="A198" s="9">
        <v>514355</v>
      </c>
      <c r="B198" s="2">
        <v>22553</v>
      </c>
      <c r="C198" s="22" t="s">
        <v>259</v>
      </c>
      <c r="D198" s="6">
        <v>10</v>
      </c>
      <c r="E198" s="26">
        <v>40360.699999999997</v>
      </c>
      <c r="F198" s="11">
        <v>1.65</v>
      </c>
      <c r="G198" s="9">
        <v>17589</v>
      </c>
      <c r="H198" s="1" t="s">
        <v>9</v>
      </c>
      <c r="I198" s="3">
        <f t="shared" si="3"/>
        <v>16.5</v>
      </c>
    </row>
    <row r="199" spans="1:9" ht="15.75" customHeight="1" x14ac:dyDescent="0.25">
      <c r="A199" s="9">
        <v>532076</v>
      </c>
      <c r="B199" s="2">
        <v>22396</v>
      </c>
      <c r="C199" s="22" t="s">
        <v>260</v>
      </c>
      <c r="D199" s="6">
        <v>1</v>
      </c>
      <c r="E199" s="26">
        <v>40492.625</v>
      </c>
      <c r="F199" s="11">
        <v>1.25</v>
      </c>
      <c r="G199" s="9">
        <v>17338</v>
      </c>
      <c r="H199" s="1" t="s">
        <v>9</v>
      </c>
      <c r="I199" s="3">
        <f t="shared" si="3"/>
        <v>1.25</v>
      </c>
    </row>
    <row r="200" spans="1:9" ht="15.75" customHeight="1" x14ac:dyDescent="0.25">
      <c r="A200" s="9">
        <v>490382</v>
      </c>
      <c r="B200" s="2">
        <v>20819</v>
      </c>
      <c r="C200" s="22" t="s">
        <v>261</v>
      </c>
      <c r="D200" s="6">
        <v>4</v>
      </c>
      <c r="E200" s="26">
        <v>40152.563888888893</v>
      </c>
      <c r="F200" s="11">
        <v>3.75</v>
      </c>
      <c r="G200" s="9">
        <v>12359</v>
      </c>
      <c r="H200" s="1" t="s">
        <v>160</v>
      </c>
      <c r="I200" s="3">
        <f t="shared" si="3"/>
        <v>15</v>
      </c>
    </row>
    <row r="201" spans="1:9" ht="15.75" customHeight="1" x14ac:dyDescent="0.25">
      <c r="A201" s="9">
        <v>518426</v>
      </c>
      <c r="B201" s="2">
        <v>85016</v>
      </c>
      <c r="C201" s="22" t="s">
        <v>262</v>
      </c>
      <c r="D201" s="6">
        <v>6</v>
      </c>
      <c r="E201" s="26">
        <v>40399.40625</v>
      </c>
      <c r="F201" s="11" t="s">
        <v>263</v>
      </c>
      <c r="G201" s="9">
        <v>16170</v>
      </c>
      <c r="H201" s="1" t="s">
        <v>9</v>
      </c>
      <c r="I201" s="3">
        <f t="shared" si="3"/>
        <v>15.299999999999999</v>
      </c>
    </row>
    <row r="202" spans="1:9" ht="15.75" customHeight="1" x14ac:dyDescent="0.25">
      <c r="A202" s="9">
        <v>525928</v>
      </c>
      <c r="B202" s="2">
        <v>22909</v>
      </c>
      <c r="C202" s="22" t="s">
        <v>157</v>
      </c>
      <c r="D202" s="6">
        <v>8</v>
      </c>
      <c r="E202" s="26">
        <v>40458.699999999997</v>
      </c>
      <c r="F202" s="11">
        <v>0.85</v>
      </c>
      <c r="G202" s="9">
        <v>16072</v>
      </c>
      <c r="H202" s="1" t="s">
        <v>9</v>
      </c>
      <c r="I202" s="3">
        <f t="shared" si="3"/>
        <v>6.8</v>
      </c>
    </row>
    <row r="203" spans="1:9" ht="15.75" customHeight="1" x14ac:dyDescent="0.25">
      <c r="A203" s="9">
        <v>530753</v>
      </c>
      <c r="B203" s="2" t="s">
        <v>264</v>
      </c>
      <c r="C203" s="22" t="s">
        <v>265</v>
      </c>
      <c r="D203" s="6">
        <v>8</v>
      </c>
      <c r="E203" s="26">
        <v>40486.49722222222</v>
      </c>
      <c r="F203" s="11">
        <v>3.25</v>
      </c>
      <c r="G203" s="9">
        <v>12949</v>
      </c>
      <c r="H203" s="1" t="s">
        <v>9</v>
      </c>
      <c r="I203" s="3">
        <f t="shared" si="3"/>
        <v>26</v>
      </c>
    </row>
    <row r="204" spans="1:9" ht="15.75" customHeight="1" x14ac:dyDescent="0.25">
      <c r="A204" s="9">
        <v>530785</v>
      </c>
      <c r="B204" s="2" t="s">
        <v>266</v>
      </c>
      <c r="C204" s="22" t="s">
        <v>267</v>
      </c>
      <c r="D204" s="6">
        <v>6</v>
      </c>
      <c r="E204" s="26">
        <v>40486.506249999999</v>
      </c>
      <c r="F204" s="11">
        <v>2.5499999999999998</v>
      </c>
      <c r="G204" s="9">
        <v>17702</v>
      </c>
      <c r="H204" s="1" t="s">
        <v>9</v>
      </c>
      <c r="I204" s="3">
        <f t="shared" si="3"/>
        <v>15.299999999999999</v>
      </c>
    </row>
    <row r="205" spans="1:9" ht="15.75" customHeight="1" x14ac:dyDescent="0.25">
      <c r="A205" s="9">
        <v>517111</v>
      </c>
      <c r="B205" s="2">
        <v>82600</v>
      </c>
      <c r="C205" s="22" t="s">
        <v>268</v>
      </c>
      <c r="D205" s="6">
        <v>12</v>
      </c>
      <c r="E205" s="26">
        <v>40385.65347222222</v>
      </c>
      <c r="F205" s="11">
        <v>2.1</v>
      </c>
      <c r="G205" s="9" t="s">
        <v>269</v>
      </c>
      <c r="H205" s="1" t="s">
        <v>9</v>
      </c>
      <c r="I205" s="3">
        <f t="shared" si="3"/>
        <v>25.200000000000003</v>
      </c>
    </row>
    <row r="206" spans="1:9" ht="15.75" customHeight="1" x14ac:dyDescent="0.25">
      <c r="A206" s="9">
        <v>521195</v>
      </c>
      <c r="B206" s="2" t="s">
        <v>270</v>
      </c>
      <c r="C206" s="22" t="s">
        <v>271</v>
      </c>
      <c r="D206" s="6">
        <v>25</v>
      </c>
      <c r="E206" s="26">
        <v>40423.720138888893</v>
      </c>
      <c r="F206" s="11">
        <v>0.42</v>
      </c>
      <c r="G206" s="9">
        <v>15424</v>
      </c>
      <c r="H206" s="1" t="s">
        <v>9</v>
      </c>
      <c r="I206" s="3">
        <f t="shared" si="3"/>
        <v>10.5</v>
      </c>
    </row>
    <row r="207" spans="1:9" ht="15.75" customHeight="1" x14ac:dyDescent="0.25">
      <c r="A207" s="9">
        <v>502922</v>
      </c>
      <c r="B207" s="2">
        <v>85119</v>
      </c>
      <c r="C207" s="22" t="s">
        <v>272</v>
      </c>
      <c r="D207" s="6">
        <v>1</v>
      </c>
      <c r="E207" s="26">
        <v>40266.586111111108</v>
      </c>
      <c r="F207" s="11">
        <v>1.69</v>
      </c>
      <c r="G207" s="9">
        <v>18041</v>
      </c>
      <c r="H207" s="1" t="s">
        <v>9</v>
      </c>
      <c r="I207" s="3">
        <f t="shared" si="3"/>
        <v>1.69</v>
      </c>
    </row>
    <row r="208" spans="1:9" ht="15.75" customHeight="1" x14ac:dyDescent="0.25">
      <c r="A208" s="9">
        <v>527053</v>
      </c>
      <c r="B208" s="2">
        <v>22588</v>
      </c>
      <c r="C208" s="22" t="s">
        <v>273</v>
      </c>
      <c r="D208" s="6">
        <v>3</v>
      </c>
      <c r="E208" s="26">
        <v>40465.545138888891</v>
      </c>
      <c r="F208" s="11">
        <v>2.5499999999999998</v>
      </c>
      <c r="G208" s="9">
        <v>14343</v>
      </c>
      <c r="H208" s="1" t="s">
        <v>9</v>
      </c>
      <c r="I208" s="3">
        <f t="shared" si="3"/>
        <v>7.6499999999999995</v>
      </c>
    </row>
    <row r="209" spans="1:9" ht="15.75" customHeight="1" x14ac:dyDescent="0.25">
      <c r="A209" s="9">
        <v>537153</v>
      </c>
      <c r="B209" s="2" t="s">
        <v>274</v>
      </c>
      <c r="C209" s="22" t="s">
        <v>275</v>
      </c>
      <c r="D209" s="6">
        <v>3</v>
      </c>
      <c r="E209" s="26">
        <v>40517.543749999997</v>
      </c>
      <c r="F209" s="11">
        <v>7.95</v>
      </c>
      <c r="G209" s="9">
        <v>16718</v>
      </c>
      <c r="H209" s="1" t="s">
        <v>9</v>
      </c>
      <c r="I209" s="3">
        <f t="shared" si="3"/>
        <v>23.85</v>
      </c>
    </row>
    <row r="210" spans="1:9" ht="15.75" customHeight="1" x14ac:dyDescent="0.25">
      <c r="A210" s="9">
        <v>495158</v>
      </c>
      <c r="B210" s="2">
        <v>21908</v>
      </c>
      <c r="C210" s="22" t="s">
        <v>276</v>
      </c>
      <c r="D210" s="6">
        <v>1</v>
      </c>
      <c r="E210" s="26">
        <v>40199.525694444441</v>
      </c>
      <c r="F210" s="11">
        <v>2.1</v>
      </c>
      <c r="G210" s="9">
        <v>13527</v>
      </c>
      <c r="H210" s="1" t="s">
        <v>9</v>
      </c>
      <c r="I210" s="3">
        <f t="shared" si="3"/>
        <v>2.1</v>
      </c>
    </row>
    <row r="211" spans="1:9" ht="15.75" customHeight="1" x14ac:dyDescent="0.25">
      <c r="A211" s="9">
        <v>530085</v>
      </c>
      <c r="B211" s="2" t="s">
        <v>277</v>
      </c>
      <c r="C211" s="22" t="s">
        <v>278</v>
      </c>
      <c r="D211" s="6">
        <v>1</v>
      </c>
      <c r="E211" s="26">
        <v>40483.55972222222</v>
      </c>
      <c r="F211" s="11">
        <v>1.95</v>
      </c>
      <c r="G211" s="9">
        <v>17315</v>
      </c>
      <c r="H211" s="1" t="s">
        <v>9</v>
      </c>
      <c r="I211" s="3">
        <f t="shared" si="3"/>
        <v>1.95</v>
      </c>
    </row>
    <row r="212" spans="1:9" ht="15.75" customHeight="1" x14ac:dyDescent="0.25">
      <c r="A212" s="9">
        <v>537871</v>
      </c>
      <c r="B212" s="2">
        <v>22561</v>
      </c>
      <c r="C212" s="22" t="s">
        <v>27</v>
      </c>
      <c r="D212" s="6">
        <v>2</v>
      </c>
      <c r="E212" s="26">
        <v>40520.722222222219</v>
      </c>
      <c r="F212" s="11">
        <v>1.65</v>
      </c>
      <c r="G212" s="9">
        <v>12748</v>
      </c>
      <c r="H212" s="1" t="s">
        <v>9</v>
      </c>
      <c r="I212" s="3">
        <f t="shared" si="3"/>
        <v>3.3</v>
      </c>
    </row>
    <row r="213" spans="1:9" ht="15.75" customHeight="1" x14ac:dyDescent="0.25">
      <c r="A213" s="9">
        <v>521642</v>
      </c>
      <c r="B213" s="2">
        <v>21976</v>
      </c>
      <c r="C213" s="22" t="s">
        <v>279</v>
      </c>
      <c r="D213" s="6">
        <v>24</v>
      </c>
      <c r="E213" s="26">
        <v>40428.544444444437</v>
      </c>
      <c r="F213" s="11">
        <v>0.55000000000000004</v>
      </c>
      <c r="G213" s="9">
        <v>14911</v>
      </c>
      <c r="H213" s="1" t="s">
        <v>978</v>
      </c>
      <c r="I213" s="3">
        <f t="shared" si="3"/>
        <v>13.200000000000001</v>
      </c>
    </row>
    <row r="214" spans="1:9" ht="15.75" customHeight="1" x14ac:dyDescent="0.25">
      <c r="A214" s="9">
        <v>502724</v>
      </c>
      <c r="B214" s="2">
        <v>20685</v>
      </c>
      <c r="C214" s="22" t="s">
        <v>280</v>
      </c>
      <c r="D214" s="6">
        <v>2</v>
      </c>
      <c r="E214" s="26">
        <v>40263.476388888892</v>
      </c>
      <c r="F214" s="11">
        <v>7.49</v>
      </c>
      <c r="G214" s="9">
        <v>14110</v>
      </c>
      <c r="H214" s="1" t="s">
        <v>9</v>
      </c>
      <c r="I214" s="3">
        <f t="shared" si="3"/>
        <v>14.98</v>
      </c>
    </row>
    <row r="215" spans="1:9" ht="15.75" customHeight="1" x14ac:dyDescent="0.25">
      <c r="A215" s="9">
        <v>529156</v>
      </c>
      <c r="B215" s="2">
        <v>22143</v>
      </c>
      <c r="C215" s="22" t="s">
        <v>281</v>
      </c>
      <c r="D215" s="6">
        <v>2</v>
      </c>
      <c r="E215" s="26">
        <v>40477.699305555558</v>
      </c>
      <c r="F215" s="11">
        <v>2.1</v>
      </c>
      <c r="G215" s="9">
        <v>16549</v>
      </c>
      <c r="H215" s="1" t="s">
        <v>9</v>
      </c>
      <c r="I215" s="3">
        <f t="shared" si="3"/>
        <v>4.2</v>
      </c>
    </row>
    <row r="216" spans="1:9" ht="15.75" customHeight="1" x14ac:dyDescent="0.25">
      <c r="A216" s="9">
        <v>526906</v>
      </c>
      <c r="B216" s="2">
        <v>84199</v>
      </c>
      <c r="C216" s="22" t="s">
        <v>282</v>
      </c>
      <c r="D216" s="6">
        <v>1</v>
      </c>
      <c r="E216" s="26">
        <v>40464.640277777777</v>
      </c>
      <c r="F216" s="11">
        <v>0.21</v>
      </c>
      <c r="G216" s="9">
        <v>16120</v>
      </c>
      <c r="H216" s="1" t="s">
        <v>9</v>
      </c>
      <c r="I216" s="3">
        <f t="shared" si="3"/>
        <v>0.21</v>
      </c>
    </row>
    <row r="217" spans="1:9" ht="15.75" customHeight="1" x14ac:dyDescent="0.25">
      <c r="A217" s="9">
        <v>519610</v>
      </c>
      <c r="B217" s="2">
        <v>84077</v>
      </c>
      <c r="C217" s="22" t="s">
        <v>283</v>
      </c>
      <c r="D217" s="6" t="s">
        <v>284</v>
      </c>
      <c r="E217" s="26">
        <v>40408.70416666667</v>
      </c>
      <c r="F217" s="11">
        <v>0.21</v>
      </c>
      <c r="G217" s="9">
        <v>15494</v>
      </c>
      <c r="H217" s="1" t="s">
        <v>9</v>
      </c>
      <c r="I217" s="3">
        <f t="shared" si="3"/>
        <v>40.32</v>
      </c>
    </row>
    <row r="218" spans="1:9" ht="15.75" customHeight="1" x14ac:dyDescent="0.25">
      <c r="A218" s="9">
        <v>529842</v>
      </c>
      <c r="B218" s="2">
        <v>21169</v>
      </c>
      <c r="C218" s="22" t="s">
        <v>285</v>
      </c>
      <c r="D218" s="6">
        <v>1</v>
      </c>
      <c r="E218" s="26">
        <v>40482.536111111112</v>
      </c>
      <c r="F218" s="11">
        <v>1.69</v>
      </c>
      <c r="G218" s="9">
        <v>15038</v>
      </c>
      <c r="H218" s="1" t="s">
        <v>9</v>
      </c>
      <c r="I218" s="3">
        <f t="shared" si="3"/>
        <v>1.69</v>
      </c>
    </row>
    <row r="219" spans="1:9" ht="15.75" customHeight="1" x14ac:dyDescent="0.25">
      <c r="A219" s="9">
        <v>489916</v>
      </c>
      <c r="B219" s="2" t="s">
        <v>286</v>
      </c>
      <c r="C219" s="22" t="s">
        <v>287</v>
      </c>
      <c r="D219" s="6">
        <v>25</v>
      </c>
      <c r="E219" s="26">
        <v>40150.442361111112</v>
      </c>
      <c r="F219" s="11">
        <v>0.42</v>
      </c>
      <c r="G219" s="9">
        <v>15194</v>
      </c>
      <c r="H219" s="1" t="s">
        <v>9</v>
      </c>
      <c r="I219" s="3">
        <f t="shared" si="3"/>
        <v>10.5</v>
      </c>
    </row>
    <row r="220" spans="1:9" ht="15.75" customHeight="1" x14ac:dyDescent="0.25">
      <c r="A220" s="9">
        <v>490142</v>
      </c>
      <c r="B220" s="2">
        <v>37503</v>
      </c>
      <c r="C220" s="22" t="s">
        <v>288</v>
      </c>
      <c r="D220" s="6">
        <v>6</v>
      </c>
      <c r="E220" s="26">
        <v>40151.35833333333</v>
      </c>
      <c r="F220" s="11">
        <v>10.75</v>
      </c>
      <c r="G220" s="9">
        <v>14258</v>
      </c>
      <c r="H220" s="1" t="s">
        <v>9</v>
      </c>
      <c r="I220" s="3">
        <f t="shared" si="3"/>
        <v>64.5</v>
      </c>
    </row>
    <row r="221" spans="1:9" ht="15.75" customHeight="1" x14ac:dyDescent="0.25">
      <c r="A221" s="9">
        <v>525009</v>
      </c>
      <c r="B221" s="2">
        <v>22578</v>
      </c>
      <c r="C221" s="22" t="s">
        <v>289</v>
      </c>
      <c r="D221" s="6">
        <v>3</v>
      </c>
      <c r="E221" s="26">
        <v>40454.451388888891</v>
      </c>
      <c r="F221" s="11">
        <v>0.85</v>
      </c>
      <c r="G221" s="9">
        <v>15164</v>
      </c>
      <c r="H221" s="1" t="s">
        <v>9</v>
      </c>
      <c r="I221" s="3">
        <f t="shared" si="3"/>
        <v>2.5499999999999998</v>
      </c>
    </row>
    <row r="222" spans="1:9" ht="15.75" customHeight="1" x14ac:dyDescent="0.25">
      <c r="A222" s="9">
        <v>531359</v>
      </c>
      <c r="B222" s="2">
        <v>22905</v>
      </c>
      <c r="C222" s="22" t="s">
        <v>290</v>
      </c>
      <c r="D222" s="6">
        <v>2</v>
      </c>
      <c r="E222" s="26">
        <v>40489.595138888893</v>
      </c>
      <c r="F222" s="11">
        <v>2.95</v>
      </c>
      <c r="G222" s="9">
        <v>13276</v>
      </c>
      <c r="H222" s="1" t="s">
        <v>9</v>
      </c>
      <c r="I222" s="3">
        <f t="shared" si="3"/>
        <v>5.9</v>
      </c>
    </row>
    <row r="223" spans="1:9" ht="15.75" customHeight="1" x14ac:dyDescent="0.25">
      <c r="A223" s="9">
        <v>508864</v>
      </c>
      <c r="B223" s="2">
        <v>22139</v>
      </c>
      <c r="C223" s="22" t="s">
        <v>135</v>
      </c>
      <c r="D223" s="6">
        <v>15</v>
      </c>
      <c r="E223" s="26">
        <v>40316.67291666667</v>
      </c>
      <c r="F223" s="11">
        <v>4.95</v>
      </c>
      <c r="G223" s="9">
        <v>17589</v>
      </c>
      <c r="H223" s="1" t="s">
        <v>9</v>
      </c>
      <c r="I223" s="3">
        <f t="shared" si="3"/>
        <v>74.25</v>
      </c>
    </row>
    <row r="224" spans="1:9" ht="15.75" customHeight="1" x14ac:dyDescent="0.25">
      <c r="A224" s="9">
        <v>504200</v>
      </c>
      <c r="B224" s="2" t="s">
        <v>291</v>
      </c>
      <c r="C224" s="22" t="s">
        <v>292</v>
      </c>
      <c r="D224" s="6">
        <v>3</v>
      </c>
      <c r="E224" s="26">
        <v>40280.463194444441</v>
      </c>
      <c r="F224" s="11">
        <v>5.95</v>
      </c>
      <c r="G224" s="9">
        <v>14114</v>
      </c>
      <c r="H224" s="1" t="s">
        <v>9</v>
      </c>
      <c r="I224" s="3">
        <f t="shared" si="3"/>
        <v>17.850000000000001</v>
      </c>
    </row>
    <row r="225" spans="1:9" ht="15.75" customHeight="1" x14ac:dyDescent="0.25">
      <c r="A225" s="9">
        <v>535412</v>
      </c>
      <c r="B225" s="2">
        <v>21888</v>
      </c>
      <c r="C225" s="22" t="s">
        <v>149</v>
      </c>
      <c r="D225" s="6">
        <v>3</v>
      </c>
      <c r="E225" s="26">
        <v>40508.477777777778</v>
      </c>
      <c r="F225" s="11">
        <v>3.75</v>
      </c>
      <c r="G225" s="9">
        <v>16899</v>
      </c>
      <c r="H225" s="1" t="s">
        <v>9</v>
      </c>
      <c r="I225" s="3">
        <f t="shared" si="3"/>
        <v>11.25</v>
      </c>
    </row>
    <row r="226" spans="1:9" ht="15.75" customHeight="1" x14ac:dyDescent="0.25">
      <c r="A226" s="9">
        <v>492817</v>
      </c>
      <c r="B226" s="2">
        <v>22060</v>
      </c>
      <c r="C226" s="22" t="s">
        <v>294</v>
      </c>
      <c r="D226" s="6">
        <v>6</v>
      </c>
      <c r="E226" s="26">
        <v>40167.567361111112</v>
      </c>
      <c r="F226" s="11">
        <v>9.9499999999999993</v>
      </c>
      <c r="G226" s="9">
        <v>16593</v>
      </c>
      <c r="H226" s="1" t="s">
        <v>9</v>
      </c>
      <c r="I226" s="3">
        <f t="shared" si="3"/>
        <v>59.699999999999996</v>
      </c>
    </row>
    <row r="227" spans="1:9" ht="15.75" customHeight="1" x14ac:dyDescent="0.25">
      <c r="A227" s="9">
        <v>536573</v>
      </c>
      <c r="B227" s="2">
        <v>22178</v>
      </c>
      <c r="C227" s="22" t="s">
        <v>193</v>
      </c>
      <c r="D227" s="6">
        <v>36</v>
      </c>
      <c r="E227" s="26">
        <v>40513.65625</v>
      </c>
      <c r="F227" s="11">
        <v>1.25</v>
      </c>
      <c r="G227" s="9">
        <v>17025</v>
      </c>
      <c r="H227" s="1" t="s">
        <v>9</v>
      </c>
      <c r="I227" s="3">
        <f t="shared" si="3"/>
        <v>45</v>
      </c>
    </row>
    <row r="228" spans="1:9" ht="15.75" customHeight="1" x14ac:dyDescent="0.25">
      <c r="A228" s="9">
        <v>496303</v>
      </c>
      <c r="B228" s="2">
        <v>85202</v>
      </c>
      <c r="C228" s="22" t="s">
        <v>295</v>
      </c>
      <c r="D228" s="6">
        <v>3</v>
      </c>
      <c r="E228" s="26">
        <v>40209.468055555553</v>
      </c>
      <c r="F228" s="11">
        <v>0.42</v>
      </c>
      <c r="G228" s="9">
        <v>16923</v>
      </c>
      <c r="H228" s="1" t="s">
        <v>9</v>
      </c>
      <c r="I228" s="3">
        <f t="shared" si="3"/>
        <v>1.26</v>
      </c>
    </row>
    <row r="229" spans="1:9" ht="15.75" customHeight="1" x14ac:dyDescent="0.25">
      <c r="A229" s="9">
        <v>517853</v>
      </c>
      <c r="B229" s="2">
        <v>22367</v>
      </c>
      <c r="C229" s="22" t="s">
        <v>296</v>
      </c>
      <c r="D229" s="6">
        <v>16</v>
      </c>
      <c r="E229" s="26">
        <v>40392.572916666657</v>
      </c>
      <c r="F229" s="11">
        <v>1.95</v>
      </c>
      <c r="G229" s="9">
        <v>16843</v>
      </c>
      <c r="H229" s="1" t="s">
        <v>9</v>
      </c>
      <c r="I229" s="3">
        <f t="shared" si="3"/>
        <v>31.2</v>
      </c>
    </row>
    <row r="230" spans="1:9" ht="15.75" customHeight="1" x14ac:dyDescent="0.25">
      <c r="A230" s="9">
        <v>516536</v>
      </c>
      <c r="B230" s="2">
        <v>17003</v>
      </c>
      <c r="C230" s="22" t="s">
        <v>297</v>
      </c>
      <c r="D230" s="6" t="s">
        <v>298</v>
      </c>
      <c r="E230" s="26">
        <v>40380.48333333333</v>
      </c>
      <c r="F230" s="11">
        <v>0.16</v>
      </c>
      <c r="G230" s="9">
        <v>16422</v>
      </c>
      <c r="H230" s="1" t="s">
        <v>9</v>
      </c>
      <c r="I230" s="3">
        <f t="shared" si="3"/>
        <v>115.2</v>
      </c>
    </row>
    <row r="231" spans="1:9" ht="15.75" customHeight="1" x14ac:dyDescent="0.25">
      <c r="A231" s="9">
        <v>503355</v>
      </c>
      <c r="B231" s="2">
        <v>21741</v>
      </c>
      <c r="C231" s="22" t="s">
        <v>299</v>
      </c>
      <c r="D231" s="6">
        <v>12</v>
      </c>
      <c r="E231" s="26">
        <v>40268.569444444453</v>
      </c>
      <c r="F231" s="11">
        <v>2.95</v>
      </c>
      <c r="G231" s="9">
        <v>12913</v>
      </c>
      <c r="H231" s="1" t="s">
        <v>9</v>
      </c>
      <c r="I231" s="3">
        <f t="shared" si="3"/>
        <v>35.400000000000006</v>
      </c>
    </row>
    <row r="232" spans="1:9" ht="15.75" customHeight="1" x14ac:dyDescent="0.25">
      <c r="A232" s="9">
        <v>515533</v>
      </c>
      <c r="B232" s="2">
        <v>21624</v>
      </c>
      <c r="C232" s="22" t="s">
        <v>301</v>
      </c>
      <c r="D232" s="6">
        <v>1</v>
      </c>
      <c r="E232" s="26">
        <v>40372.505555555559</v>
      </c>
      <c r="F232" s="11">
        <v>5.95</v>
      </c>
      <c r="G232" s="9">
        <v>15719</v>
      </c>
      <c r="H232" s="1" t="s">
        <v>9</v>
      </c>
      <c r="I232" s="3">
        <f t="shared" si="3"/>
        <v>5.95</v>
      </c>
    </row>
    <row r="233" spans="1:9" ht="15.75" customHeight="1" x14ac:dyDescent="0.25">
      <c r="A233" s="9">
        <v>490063</v>
      </c>
      <c r="B233" s="2">
        <v>84937</v>
      </c>
      <c r="C233" s="22" t="s">
        <v>302</v>
      </c>
      <c r="D233" s="6">
        <v>6</v>
      </c>
      <c r="E233" s="26">
        <v>40150.575694444437</v>
      </c>
      <c r="F233" s="11">
        <v>2.1</v>
      </c>
      <c r="G233" s="9">
        <v>17271</v>
      </c>
      <c r="H233" s="1" t="s">
        <v>9</v>
      </c>
      <c r="I233" s="3">
        <f t="shared" si="3"/>
        <v>12.600000000000001</v>
      </c>
    </row>
    <row r="234" spans="1:9" ht="15.75" customHeight="1" x14ac:dyDescent="0.25">
      <c r="A234" s="9">
        <v>526905</v>
      </c>
      <c r="B234" s="2">
        <v>22583</v>
      </c>
      <c r="C234" s="22" t="s">
        <v>303</v>
      </c>
      <c r="D234" s="6">
        <v>6</v>
      </c>
      <c r="E234" s="26">
        <v>40464.636805555558</v>
      </c>
      <c r="F234" s="11">
        <v>2.5499999999999998</v>
      </c>
      <c r="G234" s="9" t="s">
        <v>304</v>
      </c>
      <c r="H234" s="1" t="s">
        <v>9</v>
      </c>
      <c r="I234" s="3">
        <f t="shared" si="3"/>
        <v>15.299999999999999</v>
      </c>
    </row>
    <row r="235" spans="1:9" ht="15.75" customHeight="1" x14ac:dyDescent="0.25">
      <c r="A235" s="9">
        <v>523122</v>
      </c>
      <c r="B235" s="2">
        <v>22384</v>
      </c>
      <c r="C235" s="22" t="s">
        <v>305</v>
      </c>
      <c r="D235" s="6">
        <v>10</v>
      </c>
      <c r="E235" s="26">
        <v>40441.54791666667</v>
      </c>
      <c r="F235" s="11">
        <v>1.65</v>
      </c>
      <c r="G235" s="9">
        <v>12993</v>
      </c>
      <c r="H235" s="1" t="s">
        <v>9</v>
      </c>
      <c r="I235" s="3">
        <f t="shared" si="3"/>
        <v>16.5</v>
      </c>
    </row>
    <row r="236" spans="1:9" ht="15.75" customHeight="1" x14ac:dyDescent="0.25">
      <c r="A236" s="9">
        <v>525857</v>
      </c>
      <c r="B236" s="2">
        <v>20770</v>
      </c>
      <c r="C236" s="22" t="s">
        <v>306</v>
      </c>
      <c r="D236" s="6">
        <v>1</v>
      </c>
      <c r="E236" s="26">
        <v>40458.54791666667</v>
      </c>
      <c r="F236" s="11">
        <v>2.5499999999999998</v>
      </c>
      <c r="G236" s="9">
        <v>17860</v>
      </c>
      <c r="H236" s="1" t="s">
        <v>9</v>
      </c>
      <c r="I236" s="3">
        <f t="shared" si="3"/>
        <v>2.5499999999999998</v>
      </c>
    </row>
    <row r="237" spans="1:9" ht="15.75" customHeight="1" x14ac:dyDescent="0.25">
      <c r="A237" s="9">
        <v>528919</v>
      </c>
      <c r="B237" s="2">
        <v>22669</v>
      </c>
      <c r="C237" s="22" t="s">
        <v>307</v>
      </c>
      <c r="D237" s="6">
        <v>2</v>
      </c>
      <c r="E237" s="26">
        <v>40476.602083333331</v>
      </c>
      <c r="F237" s="11">
        <v>2.95</v>
      </c>
      <c r="G237" s="9">
        <v>16259</v>
      </c>
      <c r="H237" s="1" t="s">
        <v>9</v>
      </c>
      <c r="I237" s="3">
        <f t="shared" si="3"/>
        <v>5.9</v>
      </c>
    </row>
    <row r="238" spans="1:9" ht="15.75" customHeight="1" x14ac:dyDescent="0.25">
      <c r="A238" s="9">
        <v>510058</v>
      </c>
      <c r="B238" s="2">
        <v>22356</v>
      </c>
      <c r="C238" s="22" t="s">
        <v>308</v>
      </c>
      <c r="D238" s="6">
        <v>4</v>
      </c>
      <c r="E238" s="26">
        <v>40325.425694444442</v>
      </c>
      <c r="F238" s="11">
        <v>0.85</v>
      </c>
      <c r="G238" s="9">
        <v>14754</v>
      </c>
      <c r="H238" s="1" t="s">
        <v>9</v>
      </c>
      <c r="I238" s="3">
        <f t="shared" si="3"/>
        <v>3.4</v>
      </c>
    </row>
    <row r="239" spans="1:9" ht="15.75" customHeight="1" x14ac:dyDescent="0.25">
      <c r="A239" s="9">
        <v>523313</v>
      </c>
      <c r="B239" s="2">
        <v>22553</v>
      </c>
      <c r="C239" s="22" t="s">
        <v>259</v>
      </c>
      <c r="D239" s="6">
        <v>12</v>
      </c>
      <c r="E239" s="26">
        <v>40442.556250000001</v>
      </c>
      <c r="F239" s="11">
        <v>1.65</v>
      </c>
      <c r="G239" s="9">
        <v>14936</v>
      </c>
      <c r="H239" s="1" t="s">
        <v>230</v>
      </c>
      <c r="I239" s="3">
        <f t="shared" si="3"/>
        <v>19.799999999999997</v>
      </c>
    </row>
    <row r="240" spans="1:9" ht="15.75" customHeight="1" x14ac:dyDescent="0.25">
      <c r="A240" s="9">
        <v>515929</v>
      </c>
      <c r="B240" s="2">
        <v>22331</v>
      </c>
      <c r="C240" s="22" t="s">
        <v>309</v>
      </c>
      <c r="D240" s="6">
        <v>8</v>
      </c>
      <c r="E240" s="26">
        <v>40374.60833333333</v>
      </c>
      <c r="F240" s="11">
        <v>1.65</v>
      </c>
      <c r="G240" s="9">
        <v>14084</v>
      </c>
      <c r="H240" s="1" t="s">
        <v>9</v>
      </c>
      <c r="I240" s="3">
        <f t="shared" si="3"/>
        <v>13.2</v>
      </c>
    </row>
    <row r="241" spans="1:9" ht="15.75" customHeight="1" x14ac:dyDescent="0.25">
      <c r="A241" s="9">
        <v>509634</v>
      </c>
      <c r="B241" s="2">
        <v>22482</v>
      </c>
      <c r="C241" s="22" t="s">
        <v>310</v>
      </c>
      <c r="D241" s="6">
        <v>1</v>
      </c>
      <c r="E241" s="26">
        <v>40323.432638888888</v>
      </c>
      <c r="F241" s="11">
        <v>1.25</v>
      </c>
      <c r="G241" s="9">
        <v>13324</v>
      </c>
      <c r="H241" s="1" t="s">
        <v>9</v>
      </c>
      <c r="I241" s="3">
        <f t="shared" si="3"/>
        <v>1.25</v>
      </c>
    </row>
    <row r="242" spans="1:9" ht="15.75" customHeight="1" x14ac:dyDescent="0.25">
      <c r="A242" s="9">
        <v>529342</v>
      </c>
      <c r="B242" s="2">
        <v>22948</v>
      </c>
      <c r="C242" s="22" t="s">
        <v>155</v>
      </c>
      <c r="D242" s="6">
        <v>24</v>
      </c>
      <c r="E242" s="26">
        <v>40478.695138888892</v>
      </c>
      <c r="F242" s="11">
        <v>0.85</v>
      </c>
      <c r="G242" s="9">
        <v>18060</v>
      </c>
      <c r="H242" s="1" t="s">
        <v>9</v>
      </c>
      <c r="I242" s="3">
        <f t="shared" si="3"/>
        <v>20.399999999999999</v>
      </c>
    </row>
    <row r="243" spans="1:9" ht="15.75" customHeight="1" x14ac:dyDescent="0.25">
      <c r="A243" s="9">
        <v>513555</v>
      </c>
      <c r="B243" s="2">
        <v>22173</v>
      </c>
      <c r="C243" s="22" t="s">
        <v>311</v>
      </c>
      <c r="D243" s="6">
        <v>2</v>
      </c>
      <c r="E243" s="26">
        <v>40354.553472222222</v>
      </c>
      <c r="F243" s="11">
        <v>2.95</v>
      </c>
      <c r="G243" s="9">
        <v>13291</v>
      </c>
      <c r="H243" s="1" t="s">
        <v>9</v>
      </c>
      <c r="I243" s="3">
        <f t="shared" si="3"/>
        <v>5.9</v>
      </c>
    </row>
    <row r="244" spans="1:9" ht="15.75" customHeight="1" x14ac:dyDescent="0.25">
      <c r="A244" s="9">
        <v>510173</v>
      </c>
      <c r="B244" s="2">
        <v>22474</v>
      </c>
      <c r="C244" s="22" t="s">
        <v>312</v>
      </c>
      <c r="D244" s="6">
        <v>4</v>
      </c>
      <c r="E244" s="26">
        <v>40325.611111111109</v>
      </c>
      <c r="F244" s="11">
        <v>4.95</v>
      </c>
      <c r="G244" s="9">
        <v>18257</v>
      </c>
      <c r="H244" s="1" t="s">
        <v>9</v>
      </c>
      <c r="I244" s="3">
        <f t="shared" si="3"/>
        <v>19.8</v>
      </c>
    </row>
    <row r="245" spans="1:9" ht="15.75" customHeight="1" x14ac:dyDescent="0.25">
      <c r="A245" s="9">
        <v>521888</v>
      </c>
      <c r="B245" s="2">
        <v>21937</v>
      </c>
      <c r="C245" s="22" t="s">
        <v>313</v>
      </c>
      <c r="D245" s="6">
        <v>50</v>
      </c>
      <c r="E245" s="26">
        <v>40430.488194444442</v>
      </c>
      <c r="F245" s="11">
        <v>2.5499999999999998</v>
      </c>
      <c r="G245" s="9">
        <v>12770</v>
      </c>
      <c r="H245" s="1" t="s">
        <v>314</v>
      </c>
      <c r="I245" s="3">
        <f t="shared" si="3"/>
        <v>127.49999999999999</v>
      </c>
    </row>
    <row r="246" spans="1:9" ht="15.75" customHeight="1" x14ac:dyDescent="0.25">
      <c r="A246" s="9">
        <v>511251</v>
      </c>
      <c r="B246" s="2">
        <v>21126</v>
      </c>
      <c r="C246" s="22" t="s">
        <v>315</v>
      </c>
      <c r="D246" s="6">
        <v>1</v>
      </c>
      <c r="E246" s="26">
        <v>40336.525694444441</v>
      </c>
      <c r="F246" s="11">
        <v>1.25</v>
      </c>
      <c r="G246" s="9">
        <v>14515</v>
      </c>
      <c r="H246" s="1" t="s">
        <v>9</v>
      </c>
      <c r="I246" s="3">
        <f t="shared" si="3"/>
        <v>1.25</v>
      </c>
    </row>
    <row r="247" spans="1:9" ht="15.75" customHeight="1" x14ac:dyDescent="0.25">
      <c r="A247" s="9">
        <v>518219</v>
      </c>
      <c r="B247" s="2">
        <v>37370</v>
      </c>
      <c r="C247" s="22" t="s">
        <v>316</v>
      </c>
      <c r="D247" s="6">
        <v>12</v>
      </c>
      <c r="E247" s="26">
        <v>40395.556250000001</v>
      </c>
      <c r="F247" s="11">
        <v>1.25</v>
      </c>
      <c r="G247" s="9">
        <v>16105</v>
      </c>
      <c r="H247" s="1" t="s">
        <v>9</v>
      </c>
      <c r="I247" s="3">
        <f t="shared" si="3"/>
        <v>15</v>
      </c>
    </row>
    <row r="248" spans="1:9" ht="15.75" customHeight="1" x14ac:dyDescent="0.25">
      <c r="A248" s="9">
        <v>531804</v>
      </c>
      <c r="B248" s="2">
        <v>82605</v>
      </c>
      <c r="C248" s="22" t="s">
        <v>317</v>
      </c>
      <c r="D248" s="6">
        <v>2</v>
      </c>
      <c r="E248" s="26">
        <v>40491.668749999997</v>
      </c>
      <c r="F248" s="11">
        <v>2.1</v>
      </c>
      <c r="G248" s="9">
        <v>14535</v>
      </c>
      <c r="H248" s="1" t="s">
        <v>9</v>
      </c>
      <c r="I248" s="3">
        <f t="shared" si="3"/>
        <v>4.2</v>
      </c>
    </row>
    <row r="249" spans="1:9" ht="15.75" customHeight="1" x14ac:dyDescent="0.25">
      <c r="A249" s="9">
        <v>534471</v>
      </c>
      <c r="B249" s="2" t="s">
        <v>318</v>
      </c>
      <c r="C249" s="22" t="s">
        <v>319</v>
      </c>
      <c r="D249" s="6">
        <v>24</v>
      </c>
      <c r="E249" s="26">
        <v>40505.433333333327</v>
      </c>
      <c r="F249" s="11">
        <v>0.08</v>
      </c>
      <c r="G249" s="9">
        <v>17422</v>
      </c>
      <c r="H249" s="1" t="s">
        <v>9</v>
      </c>
      <c r="I249" s="3">
        <f t="shared" si="3"/>
        <v>1.92</v>
      </c>
    </row>
    <row r="250" spans="1:9" ht="15.75" customHeight="1" x14ac:dyDescent="0.25">
      <c r="A250" s="9">
        <v>499659</v>
      </c>
      <c r="B250" s="2">
        <v>21897</v>
      </c>
      <c r="C250" s="22" t="s">
        <v>320</v>
      </c>
      <c r="D250" s="6">
        <v>1</v>
      </c>
      <c r="E250" s="26">
        <v>40238.628472222219</v>
      </c>
      <c r="F250" s="11">
        <v>2.95</v>
      </c>
      <c r="G250" s="9">
        <v>16731</v>
      </c>
      <c r="H250" s="1" t="s">
        <v>9</v>
      </c>
      <c r="I250" s="3">
        <f t="shared" si="3"/>
        <v>2.95</v>
      </c>
    </row>
    <row r="251" spans="1:9" ht="15.75" customHeight="1" x14ac:dyDescent="0.25">
      <c r="A251" s="9" t="s">
        <v>322</v>
      </c>
      <c r="B251" s="2">
        <v>84676</v>
      </c>
      <c r="C251" s="22" t="s">
        <v>323</v>
      </c>
      <c r="D251" s="6">
        <v>-3</v>
      </c>
      <c r="E251" s="26">
        <v>40282.57916666667</v>
      </c>
      <c r="F251" s="11">
        <v>2.95</v>
      </c>
      <c r="G251" s="9">
        <v>13407</v>
      </c>
      <c r="H251" s="1" t="s">
        <v>9</v>
      </c>
      <c r="I251" s="3">
        <f t="shared" si="3"/>
        <v>-8.8500000000000014</v>
      </c>
    </row>
    <row r="252" spans="1:9" ht="15.75" customHeight="1" x14ac:dyDescent="0.25">
      <c r="A252" s="9">
        <v>525020</v>
      </c>
      <c r="B252" s="2">
        <v>22663</v>
      </c>
      <c r="C252" s="22" t="s">
        <v>324</v>
      </c>
      <c r="D252" s="6">
        <v>3</v>
      </c>
      <c r="E252" s="26">
        <v>40454.495138888888</v>
      </c>
      <c r="F252" s="11">
        <v>1.95</v>
      </c>
      <c r="G252" s="9">
        <v>13590</v>
      </c>
      <c r="H252" s="1" t="s">
        <v>9</v>
      </c>
      <c r="I252" s="3">
        <f t="shared" si="3"/>
        <v>5.85</v>
      </c>
    </row>
    <row r="253" spans="1:9" ht="15.75" customHeight="1" x14ac:dyDescent="0.25">
      <c r="A253" s="9">
        <v>528705</v>
      </c>
      <c r="B253" s="2">
        <v>21891</v>
      </c>
      <c r="C253" s="22" t="s">
        <v>325</v>
      </c>
      <c r="D253" s="6">
        <v>2</v>
      </c>
      <c r="E253" s="26">
        <v>40475.546527777777</v>
      </c>
      <c r="F253" s="11">
        <v>1.25</v>
      </c>
      <c r="G253" s="9">
        <v>13137</v>
      </c>
      <c r="H253" s="1" t="s">
        <v>9</v>
      </c>
      <c r="I253" s="3">
        <f t="shared" si="3"/>
        <v>2.5</v>
      </c>
    </row>
    <row r="254" spans="1:9" ht="15.75" customHeight="1" x14ac:dyDescent="0.25">
      <c r="A254" s="9">
        <v>529611</v>
      </c>
      <c r="B254" s="2">
        <v>22986</v>
      </c>
      <c r="C254" s="22" t="s">
        <v>326</v>
      </c>
      <c r="D254" s="6">
        <v>25</v>
      </c>
      <c r="E254" s="26">
        <v>40480.443749999999</v>
      </c>
      <c r="F254" s="11">
        <v>0.42</v>
      </c>
      <c r="G254" s="9">
        <v>17690</v>
      </c>
      <c r="H254" s="1" t="s">
        <v>9</v>
      </c>
      <c r="I254" s="3">
        <f t="shared" si="3"/>
        <v>10.5</v>
      </c>
    </row>
    <row r="255" spans="1:9" ht="15.75" customHeight="1" x14ac:dyDescent="0.25">
      <c r="A255" s="9">
        <v>522773</v>
      </c>
      <c r="B255" s="2">
        <v>22334</v>
      </c>
      <c r="C255" s="22" t="s">
        <v>327</v>
      </c>
      <c r="D255" s="6">
        <v>8</v>
      </c>
      <c r="E255" s="26">
        <v>40437.606944444437</v>
      </c>
      <c r="F255" s="11">
        <v>1.65</v>
      </c>
      <c r="G255" s="9">
        <v>12369</v>
      </c>
      <c r="H255" s="1" t="s">
        <v>328</v>
      </c>
      <c r="I255" s="3">
        <f t="shared" si="3"/>
        <v>13.2</v>
      </c>
    </row>
    <row r="256" spans="1:9" ht="15.75" customHeight="1" x14ac:dyDescent="0.25">
      <c r="A256" s="9">
        <v>503241</v>
      </c>
      <c r="B256" s="2">
        <v>22139</v>
      </c>
      <c r="C256" s="22" t="s">
        <v>135</v>
      </c>
      <c r="D256" s="6">
        <v>3</v>
      </c>
      <c r="E256" s="26">
        <v>40268.402777777781</v>
      </c>
      <c r="F256" s="11">
        <v>4.95</v>
      </c>
      <c r="G256" s="9">
        <v>14890</v>
      </c>
      <c r="H256" s="1" t="s">
        <v>9</v>
      </c>
      <c r="I256" s="3">
        <f t="shared" si="3"/>
        <v>14.850000000000001</v>
      </c>
    </row>
    <row r="257" spans="1:9" ht="15.75" customHeight="1" x14ac:dyDescent="0.25">
      <c r="A257" s="9">
        <v>496944</v>
      </c>
      <c r="B257" s="2">
        <v>20966</v>
      </c>
      <c r="C257" s="22" t="s">
        <v>329</v>
      </c>
      <c r="D257" s="6" t="s">
        <v>330</v>
      </c>
      <c r="E257" s="26">
        <v>40213.728472222218</v>
      </c>
      <c r="F257" s="11">
        <v>1.25</v>
      </c>
      <c r="G257" s="9">
        <v>14606</v>
      </c>
      <c r="H257" s="1" t="s">
        <v>9</v>
      </c>
      <c r="I257" s="3">
        <f t="shared" si="3"/>
        <v>1.25</v>
      </c>
    </row>
    <row r="258" spans="1:9" ht="15.75" customHeight="1" x14ac:dyDescent="0.25">
      <c r="A258" s="9">
        <v>511638</v>
      </c>
      <c r="B258" s="2">
        <v>21213</v>
      </c>
      <c r="C258" s="22" t="s">
        <v>243</v>
      </c>
      <c r="D258" s="6">
        <v>2</v>
      </c>
      <c r="E258" s="26">
        <v>40338.547222222223</v>
      </c>
      <c r="F258" s="11">
        <v>0.55000000000000004</v>
      </c>
      <c r="G258" s="9">
        <v>17346</v>
      </c>
      <c r="H258" s="1" t="s">
        <v>9</v>
      </c>
      <c r="I258" s="3">
        <f t="shared" ref="I258:I321" si="4">(D258 *F258)</f>
        <v>1.1000000000000001</v>
      </c>
    </row>
    <row r="259" spans="1:9" ht="15.75" customHeight="1" x14ac:dyDescent="0.25">
      <c r="A259" s="9">
        <v>505725</v>
      </c>
      <c r="B259" s="2">
        <v>22539</v>
      </c>
      <c r="C259" s="22" t="s">
        <v>331</v>
      </c>
      <c r="D259" s="6">
        <v>1</v>
      </c>
      <c r="E259" s="26">
        <v>40293.579861111109</v>
      </c>
      <c r="F259" s="11">
        <v>0.42</v>
      </c>
      <c r="G259" s="9">
        <v>14606</v>
      </c>
      <c r="H259" s="1" t="s">
        <v>9</v>
      </c>
      <c r="I259" s="3">
        <f t="shared" si="4"/>
        <v>0.42</v>
      </c>
    </row>
    <row r="260" spans="1:9" ht="15.75" customHeight="1" x14ac:dyDescent="0.25">
      <c r="A260" s="9">
        <v>530020</v>
      </c>
      <c r="B260" s="2">
        <v>35400</v>
      </c>
      <c r="C260" s="22" t="s">
        <v>332</v>
      </c>
      <c r="D260" s="6">
        <v>1</v>
      </c>
      <c r="E260" s="26">
        <v>40483.452777777777</v>
      </c>
      <c r="F260" s="11">
        <v>8.9499999999999993</v>
      </c>
      <c r="G260" s="9">
        <v>17975</v>
      </c>
      <c r="H260" s="1" t="s">
        <v>9</v>
      </c>
      <c r="I260" s="3">
        <f t="shared" si="4"/>
        <v>8.9499999999999993</v>
      </c>
    </row>
    <row r="261" spans="1:9" ht="15.75" customHeight="1" x14ac:dyDescent="0.25">
      <c r="A261" s="9">
        <v>518663</v>
      </c>
      <c r="B261" s="2">
        <v>22667</v>
      </c>
      <c r="C261" s="22" t="s">
        <v>334</v>
      </c>
      <c r="D261" s="6" t="s">
        <v>330</v>
      </c>
      <c r="E261" s="26">
        <v>40400.602083333331</v>
      </c>
      <c r="F261" s="11">
        <v>2.95</v>
      </c>
      <c r="G261" s="9">
        <v>14044</v>
      </c>
      <c r="H261" s="1" t="s">
        <v>9</v>
      </c>
      <c r="I261" s="3">
        <f t="shared" si="4"/>
        <v>2.95</v>
      </c>
    </row>
    <row r="262" spans="1:9" ht="15.75" customHeight="1" x14ac:dyDescent="0.25">
      <c r="A262" s="9">
        <v>490101</v>
      </c>
      <c r="B262" s="2" t="s">
        <v>335</v>
      </c>
      <c r="C262" s="22" t="s">
        <v>336</v>
      </c>
      <c r="D262" s="6">
        <v>6</v>
      </c>
      <c r="E262" s="26">
        <v>40150.683333333327</v>
      </c>
      <c r="F262" s="11">
        <v>6.35</v>
      </c>
      <c r="G262" s="9">
        <v>14644</v>
      </c>
      <c r="H262" s="1" t="s">
        <v>9</v>
      </c>
      <c r="I262" s="3">
        <f t="shared" si="4"/>
        <v>38.099999999999994</v>
      </c>
    </row>
    <row r="263" spans="1:9" ht="15.75" customHeight="1" x14ac:dyDescent="0.25">
      <c r="A263" s="9">
        <v>531271</v>
      </c>
      <c r="B263" s="2">
        <v>22034</v>
      </c>
      <c r="C263" s="22" t="s">
        <v>337</v>
      </c>
      <c r="D263" s="6">
        <v>12</v>
      </c>
      <c r="E263" s="26">
        <v>40489.494444444441</v>
      </c>
      <c r="F263" s="11">
        <v>0.42</v>
      </c>
      <c r="G263" s="9">
        <v>16401</v>
      </c>
      <c r="H263" s="1" t="s">
        <v>9</v>
      </c>
      <c r="I263" s="3">
        <f t="shared" si="4"/>
        <v>5.04</v>
      </c>
    </row>
    <row r="264" spans="1:9" ht="15.75" customHeight="1" x14ac:dyDescent="0.25">
      <c r="A264" s="9">
        <v>525764</v>
      </c>
      <c r="B264" s="2">
        <v>22660</v>
      </c>
      <c r="C264" s="22" t="s">
        <v>338</v>
      </c>
      <c r="D264" s="6">
        <v>2</v>
      </c>
      <c r="E264" s="26">
        <v>40458.443749999999</v>
      </c>
      <c r="F264" s="11">
        <v>7.95</v>
      </c>
      <c r="G264" s="9">
        <v>12511</v>
      </c>
      <c r="H264" s="1" t="s">
        <v>339</v>
      </c>
      <c r="I264" s="3">
        <f t="shared" si="4"/>
        <v>15.9</v>
      </c>
    </row>
    <row r="265" spans="1:9" ht="15.75" customHeight="1" x14ac:dyDescent="0.25">
      <c r="A265" s="9">
        <v>494795</v>
      </c>
      <c r="B265" s="2">
        <v>21314</v>
      </c>
      <c r="C265" s="22" t="s">
        <v>340</v>
      </c>
      <c r="D265" s="6">
        <v>4</v>
      </c>
      <c r="E265" s="26">
        <v>40196.593055555553</v>
      </c>
      <c r="F265" s="11">
        <v>2.1</v>
      </c>
      <c r="G265" s="9">
        <v>13110</v>
      </c>
      <c r="H265" s="1" t="s">
        <v>9</v>
      </c>
      <c r="I265" s="3">
        <f t="shared" si="4"/>
        <v>8.4</v>
      </c>
    </row>
    <row r="266" spans="1:9" ht="15.75" customHeight="1" x14ac:dyDescent="0.25">
      <c r="A266" s="9">
        <v>518428</v>
      </c>
      <c r="B266" s="2">
        <v>20973</v>
      </c>
      <c r="C266" s="22" t="s">
        <v>341</v>
      </c>
      <c r="D266" s="6" t="s">
        <v>342</v>
      </c>
      <c r="E266" s="26">
        <v>40399.439583333333</v>
      </c>
      <c r="F266" s="11">
        <v>0.65</v>
      </c>
      <c r="G266" s="9">
        <v>12458</v>
      </c>
      <c r="H266" s="1" t="s">
        <v>343</v>
      </c>
      <c r="I266" s="3">
        <f t="shared" si="4"/>
        <v>15.600000000000001</v>
      </c>
    </row>
    <row r="267" spans="1:9" ht="15.75" customHeight="1" x14ac:dyDescent="0.25">
      <c r="A267" s="9">
        <v>505056</v>
      </c>
      <c r="B267" s="2">
        <v>21754</v>
      </c>
      <c r="C267" s="22" t="s">
        <v>344</v>
      </c>
      <c r="D267" s="6">
        <v>8</v>
      </c>
      <c r="E267" s="26">
        <v>40287.624305555553</v>
      </c>
      <c r="F267" s="11">
        <v>5.95</v>
      </c>
      <c r="G267" s="9">
        <v>14667</v>
      </c>
      <c r="H267" s="1" t="s">
        <v>9</v>
      </c>
      <c r="I267" s="3">
        <f t="shared" si="4"/>
        <v>47.6</v>
      </c>
    </row>
    <row r="268" spans="1:9" ht="15.75" customHeight="1" x14ac:dyDescent="0.25">
      <c r="A268" s="9">
        <v>503251</v>
      </c>
      <c r="B268" s="2">
        <v>21590</v>
      </c>
      <c r="C268" s="22" t="s">
        <v>345</v>
      </c>
      <c r="D268" s="6">
        <v>24</v>
      </c>
      <c r="E268" s="26">
        <v>40268.438888888893</v>
      </c>
      <c r="F268" s="11">
        <v>1.25</v>
      </c>
      <c r="G268" s="9">
        <v>15754</v>
      </c>
      <c r="H268" s="1" t="s">
        <v>9</v>
      </c>
      <c r="I268" s="3">
        <f t="shared" si="4"/>
        <v>30</v>
      </c>
    </row>
    <row r="269" spans="1:9" ht="15.75" customHeight="1" x14ac:dyDescent="0.25">
      <c r="A269" s="9">
        <v>530799</v>
      </c>
      <c r="B269" s="2">
        <v>21889</v>
      </c>
      <c r="C269" s="22" t="s">
        <v>346</v>
      </c>
      <c r="D269" s="6">
        <v>144</v>
      </c>
      <c r="E269" s="26">
        <v>40486.521527777782</v>
      </c>
      <c r="F269" s="11">
        <v>1.06</v>
      </c>
      <c r="G269" s="9">
        <v>12497</v>
      </c>
      <c r="H269" s="1" t="s">
        <v>17</v>
      </c>
      <c r="I269" s="3">
        <f t="shared" si="4"/>
        <v>152.64000000000001</v>
      </c>
    </row>
    <row r="270" spans="1:9" ht="15.75" customHeight="1" x14ac:dyDescent="0.25">
      <c r="A270" s="9">
        <v>508621</v>
      </c>
      <c r="B270" s="2">
        <v>21915</v>
      </c>
      <c r="C270" s="22" t="s">
        <v>347</v>
      </c>
      <c r="D270" s="6">
        <v>12</v>
      </c>
      <c r="E270" s="26">
        <v>40315.572916666657</v>
      </c>
      <c r="F270" s="11">
        <v>1.25</v>
      </c>
      <c r="G270" s="9">
        <v>17442</v>
      </c>
      <c r="H270" s="1" t="s">
        <v>9</v>
      </c>
      <c r="I270" s="3">
        <f t="shared" si="4"/>
        <v>15</v>
      </c>
    </row>
    <row r="271" spans="1:9" ht="15.75" customHeight="1" x14ac:dyDescent="0.25">
      <c r="A271" s="9">
        <v>528167</v>
      </c>
      <c r="B271" s="2">
        <v>21754</v>
      </c>
      <c r="C271" s="22" t="s">
        <v>344</v>
      </c>
      <c r="D271" s="6">
        <v>3</v>
      </c>
      <c r="E271" s="26">
        <v>40472.40902777778</v>
      </c>
      <c r="F271" s="11">
        <v>5.95</v>
      </c>
      <c r="G271" s="9">
        <v>18247</v>
      </c>
      <c r="H271" s="1" t="s">
        <v>9</v>
      </c>
      <c r="I271" s="3">
        <f t="shared" si="4"/>
        <v>17.850000000000001</v>
      </c>
    </row>
    <row r="272" spans="1:9" ht="15.75" customHeight="1" x14ac:dyDescent="0.25">
      <c r="A272" s="9">
        <v>512943</v>
      </c>
      <c r="B272" s="2" t="s">
        <v>348</v>
      </c>
      <c r="C272" s="22" t="s">
        <v>349</v>
      </c>
      <c r="D272" s="6">
        <v>12</v>
      </c>
      <c r="E272" s="26">
        <v>40349.609722222223</v>
      </c>
      <c r="F272" s="11">
        <v>0.95</v>
      </c>
      <c r="G272" s="9">
        <v>17623</v>
      </c>
      <c r="H272" s="1" t="s">
        <v>9</v>
      </c>
      <c r="I272" s="3">
        <f t="shared" si="4"/>
        <v>11.399999999999999</v>
      </c>
    </row>
    <row r="273" spans="1:9" ht="15.75" customHeight="1" x14ac:dyDescent="0.25">
      <c r="A273" s="9">
        <v>528102</v>
      </c>
      <c r="B273" s="2" t="s">
        <v>277</v>
      </c>
      <c r="C273" s="22" t="s">
        <v>278</v>
      </c>
      <c r="D273" s="6">
        <v>2</v>
      </c>
      <c r="E273" s="26">
        <v>40471.569444444453</v>
      </c>
      <c r="F273" s="11">
        <v>1.95</v>
      </c>
      <c r="G273" s="9">
        <v>15572</v>
      </c>
      <c r="H273" s="1" t="s">
        <v>9</v>
      </c>
      <c r="I273" s="3">
        <f t="shared" si="4"/>
        <v>3.9</v>
      </c>
    </row>
    <row r="274" spans="1:9" ht="15.75" customHeight="1" x14ac:dyDescent="0.25">
      <c r="A274" s="9">
        <v>526845</v>
      </c>
      <c r="B274" s="2">
        <v>82484</v>
      </c>
      <c r="C274" s="22" t="s">
        <v>25</v>
      </c>
      <c r="D274" s="6">
        <v>24</v>
      </c>
      <c r="E274" s="26">
        <v>40464.512499999997</v>
      </c>
      <c r="F274" s="11">
        <v>5.55</v>
      </c>
      <c r="G274" s="9">
        <v>17511</v>
      </c>
      <c r="H274" s="1" t="s">
        <v>9</v>
      </c>
      <c r="I274" s="3">
        <f t="shared" si="4"/>
        <v>133.19999999999999</v>
      </c>
    </row>
    <row r="275" spans="1:9" ht="15.75" customHeight="1" x14ac:dyDescent="0.25">
      <c r="A275" s="9">
        <v>529156</v>
      </c>
      <c r="B275" s="2">
        <v>21899</v>
      </c>
      <c r="C275" s="22" t="s">
        <v>350</v>
      </c>
      <c r="D275" s="6">
        <v>2</v>
      </c>
      <c r="E275" s="26">
        <v>40477.699305555558</v>
      </c>
      <c r="F275" s="11">
        <v>0.65</v>
      </c>
      <c r="G275" s="9">
        <v>16549</v>
      </c>
      <c r="H275" s="1" t="s">
        <v>9</v>
      </c>
      <c r="I275" s="3">
        <f t="shared" si="4"/>
        <v>1.3</v>
      </c>
    </row>
    <row r="276" spans="1:9" ht="15.75" customHeight="1" x14ac:dyDescent="0.25">
      <c r="A276" s="9">
        <v>491967</v>
      </c>
      <c r="B276" s="2">
        <v>22162</v>
      </c>
      <c r="C276" s="22" t="s">
        <v>351</v>
      </c>
      <c r="D276" s="6">
        <v>8</v>
      </c>
      <c r="E276" s="26">
        <v>40161.731944444437</v>
      </c>
      <c r="F276" s="11">
        <v>2.95</v>
      </c>
      <c r="G276" s="9">
        <v>17012</v>
      </c>
      <c r="H276" s="1" t="s">
        <v>9</v>
      </c>
      <c r="I276" s="3">
        <f t="shared" si="4"/>
        <v>23.6</v>
      </c>
    </row>
    <row r="277" spans="1:9" ht="15.75" customHeight="1" x14ac:dyDescent="0.25">
      <c r="A277" s="9">
        <v>495367</v>
      </c>
      <c r="B277" s="2">
        <v>22173</v>
      </c>
      <c r="C277" s="22" t="s">
        <v>311</v>
      </c>
      <c r="D277" s="6">
        <v>3</v>
      </c>
      <c r="E277" s="26">
        <v>40202.518750000003</v>
      </c>
      <c r="F277" s="11">
        <v>2.95</v>
      </c>
      <c r="G277" s="9">
        <v>14070</v>
      </c>
      <c r="H277" s="1" t="s">
        <v>9</v>
      </c>
      <c r="I277" s="3">
        <f t="shared" si="4"/>
        <v>8.8500000000000014</v>
      </c>
    </row>
    <row r="278" spans="1:9" ht="15.75" customHeight="1" x14ac:dyDescent="0.25">
      <c r="A278" s="9">
        <v>535409</v>
      </c>
      <c r="B278" s="2">
        <v>22694</v>
      </c>
      <c r="C278" s="22" t="s">
        <v>352</v>
      </c>
      <c r="D278" s="6">
        <v>6</v>
      </c>
      <c r="E278" s="26">
        <v>40508.474999999999</v>
      </c>
      <c r="F278" s="11">
        <v>2.1</v>
      </c>
      <c r="G278" s="9">
        <v>14507</v>
      </c>
      <c r="H278" s="1" t="s">
        <v>9</v>
      </c>
      <c r="I278" s="3">
        <f t="shared" si="4"/>
        <v>12.600000000000001</v>
      </c>
    </row>
    <row r="279" spans="1:9" ht="15.75" customHeight="1" x14ac:dyDescent="0.25">
      <c r="A279" s="9">
        <v>517392</v>
      </c>
      <c r="B279" s="2" t="s">
        <v>353</v>
      </c>
      <c r="C279" s="22" t="s">
        <v>354</v>
      </c>
      <c r="D279" s="6">
        <v>24</v>
      </c>
      <c r="E279" s="26">
        <v>40388.40902777778</v>
      </c>
      <c r="F279" s="11">
        <v>0.85</v>
      </c>
      <c r="G279" s="9">
        <v>16510</v>
      </c>
      <c r="H279" s="1" t="s">
        <v>9</v>
      </c>
      <c r="I279" s="3">
        <f t="shared" si="4"/>
        <v>20.399999999999999</v>
      </c>
    </row>
    <row r="280" spans="1:9" ht="15.75" customHeight="1" x14ac:dyDescent="0.25">
      <c r="A280" s="9">
        <v>513763</v>
      </c>
      <c r="B280" s="2">
        <v>22524</v>
      </c>
      <c r="C280" s="22" t="s">
        <v>355</v>
      </c>
      <c r="D280" s="6">
        <v>10</v>
      </c>
      <c r="E280" s="26">
        <v>40357.54583333333</v>
      </c>
      <c r="F280" s="11">
        <v>1.25</v>
      </c>
      <c r="G280" s="9">
        <v>12784</v>
      </c>
      <c r="H280" s="1" t="s">
        <v>245</v>
      </c>
      <c r="I280" s="3">
        <f t="shared" si="4"/>
        <v>12.5</v>
      </c>
    </row>
    <row r="281" spans="1:9" ht="15.75" customHeight="1" x14ac:dyDescent="0.25">
      <c r="A281" s="9">
        <v>526504</v>
      </c>
      <c r="B281" s="2" t="s">
        <v>356</v>
      </c>
      <c r="C281" s="22" t="s">
        <v>357</v>
      </c>
      <c r="D281" s="6">
        <v>6</v>
      </c>
      <c r="E281" s="26">
        <v>40463.443055555559</v>
      </c>
      <c r="F281" s="11">
        <v>2.95</v>
      </c>
      <c r="G281" s="9">
        <v>15062</v>
      </c>
      <c r="H281" s="1" t="s">
        <v>9</v>
      </c>
      <c r="I281" s="3">
        <f t="shared" si="4"/>
        <v>17.700000000000003</v>
      </c>
    </row>
    <row r="282" spans="1:9" ht="15.75" customHeight="1" x14ac:dyDescent="0.25">
      <c r="A282" s="9">
        <v>504373</v>
      </c>
      <c r="B282" s="2" t="s">
        <v>153</v>
      </c>
      <c r="C282" s="22" t="s">
        <v>154</v>
      </c>
      <c r="D282" s="6" t="s">
        <v>358</v>
      </c>
      <c r="E282" s="26">
        <v>40281.461111111108</v>
      </c>
      <c r="F282" s="11">
        <v>2.95</v>
      </c>
      <c r="G282" s="9">
        <v>13468</v>
      </c>
      <c r="H282" s="1" t="s">
        <v>9</v>
      </c>
      <c r="I282" s="3">
        <f t="shared" si="4"/>
        <v>17.700000000000003</v>
      </c>
    </row>
    <row r="283" spans="1:9" ht="15.75" customHeight="1" x14ac:dyDescent="0.25">
      <c r="A283" s="9">
        <v>519241</v>
      </c>
      <c r="B283" s="2">
        <v>22201</v>
      </c>
      <c r="C283" s="22" t="s">
        <v>359</v>
      </c>
      <c r="D283" s="6">
        <v>1</v>
      </c>
      <c r="E283" s="26">
        <v>40405.584027777782</v>
      </c>
      <c r="F283" s="11">
        <v>4.25</v>
      </c>
      <c r="G283" s="9">
        <v>14415</v>
      </c>
      <c r="H283" s="1" t="s">
        <v>9</v>
      </c>
      <c r="I283" s="3">
        <f t="shared" si="4"/>
        <v>4.25</v>
      </c>
    </row>
    <row r="284" spans="1:9" ht="15.75" customHeight="1" x14ac:dyDescent="0.25">
      <c r="A284" s="9">
        <v>513594</v>
      </c>
      <c r="B284" s="2">
        <v>21755</v>
      </c>
      <c r="C284" s="22" t="s">
        <v>360</v>
      </c>
      <c r="D284" s="6">
        <v>1</v>
      </c>
      <c r="E284" s="26">
        <v>40356.45416666667</v>
      </c>
      <c r="F284" s="11">
        <v>5.95</v>
      </c>
      <c r="G284" s="9">
        <v>16782</v>
      </c>
      <c r="H284" s="1" t="s">
        <v>9</v>
      </c>
      <c r="I284" s="3">
        <f t="shared" si="4"/>
        <v>5.95</v>
      </c>
    </row>
    <row r="285" spans="1:9" ht="15.75" customHeight="1" x14ac:dyDescent="0.25">
      <c r="A285" s="9">
        <v>511654</v>
      </c>
      <c r="B285" s="2">
        <v>22302</v>
      </c>
      <c r="C285" s="22" t="s">
        <v>361</v>
      </c>
      <c r="D285" s="6">
        <v>6</v>
      </c>
      <c r="E285" s="26">
        <v>40338.586111111108</v>
      </c>
      <c r="F285" s="11">
        <v>2.5499999999999998</v>
      </c>
      <c r="G285" s="9">
        <v>17971</v>
      </c>
      <c r="H285" s="1" t="s">
        <v>9</v>
      </c>
      <c r="I285" s="3">
        <f t="shared" si="4"/>
        <v>15.299999999999999</v>
      </c>
    </row>
    <row r="286" spans="1:9" ht="15.75" customHeight="1" x14ac:dyDescent="0.25">
      <c r="A286" s="9">
        <v>521369</v>
      </c>
      <c r="B286" s="2" t="s">
        <v>45</v>
      </c>
      <c r="C286" s="22" t="s">
        <v>46</v>
      </c>
      <c r="D286" s="6">
        <v>6</v>
      </c>
      <c r="E286" s="26">
        <v>40426.468055555553</v>
      </c>
      <c r="F286" s="11">
        <v>2.12</v>
      </c>
      <c r="G286" s="9">
        <v>16085</v>
      </c>
      <c r="H286" s="1" t="s">
        <v>9</v>
      </c>
      <c r="I286" s="3">
        <f t="shared" si="4"/>
        <v>12.72</v>
      </c>
    </row>
    <row r="287" spans="1:9" ht="15.75" customHeight="1" x14ac:dyDescent="0.25">
      <c r="A287" s="9">
        <v>490106</v>
      </c>
      <c r="B287" s="2" t="s">
        <v>363</v>
      </c>
      <c r="C287" s="22" t="s">
        <v>364</v>
      </c>
      <c r="D287" s="6">
        <v>2</v>
      </c>
      <c r="E287" s="26">
        <v>40150.694444444453</v>
      </c>
      <c r="F287" s="11">
        <v>9.9499999999999993</v>
      </c>
      <c r="G287" s="9">
        <v>14898</v>
      </c>
      <c r="H287" s="1" t="s">
        <v>9</v>
      </c>
      <c r="I287" s="3">
        <f t="shared" si="4"/>
        <v>19.899999999999999</v>
      </c>
    </row>
    <row r="288" spans="1:9" ht="15.75" customHeight="1" x14ac:dyDescent="0.25">
      <c r="A288" s="9">
        <v>535423</v>
      </c>
      <c r="B288" s="2">
        <v>22600</v>
      </c>
      <c r="C288" s="22" t="s">
        <v>365</v>
      </c>
      <c r="D288" s="6">
        <v>20</v>
      </c>
      <c r="E288" s="26">
        <v>40508.495138888888</v>
      </c>
      <c r="F288" s="11">
        <v>0.85</v>
      </c>
      <c r="G288" s="9">
        <v>17283</v>
      </c>
      <c r="H288" s="1" t="s">
        <v>9</v>
      </c>
      <c r="I288" s="3">
        <f t="shared" si="4"/>
        <v>17</v>
      </c>
    </row>
    <row r="289" spans="1:9" ht="15.75" customHeight="1" x14ac:dyDescent="0.25">
      <c r="A289" s="9">
        <v>493964</v>
      </c>
      <c r="B289" s="2">
        <v>22073</v>
      </c>
      <c r="C289" s="22" t="s">
        <v>366</v>
      </c>
      <c r="D289" s="6">
        <v>4</v>
      </c>
      <c r="E289" s="26">
        <v>40186.686805555553</v>
      </c>
      <c r="F289" s="11">
        <v>3.75</v>
      </c>
      <c r="G289" s="9">
        <v>12714</v>
      </c>
      <c r="H289" s="1" t="s">
        <v>28</v>
      </c>
      <c r="I289" s="3">
        <f t="shared" si="4"/>
        <v>15</v>
      </c>
    </row>
    <row r="290" spans="1:9" ht="15.75" customHeight="1" x14ac:dyDescent="0.25">
      <c r="A290" s="9">
        <v>527423</v>
      </c>
      <c r="B290" s="2">
        <v>22863</v>
      </c>
      <c r="C290" s="22" t="s">
        <v>367</v>
      </c>
      <c r="D290" s="6">
        <v>6</v>
      </c>
      <c r="E290" s="26">
        <v>40468.67083333333</v>
      </c>
      <c r="F290" s="11">
        <v>2.95</v>
      </c>
      <c r="G290" s="9">
        <v>14755</v>
      </c>
      <c r="H290" s="1" t="s">
        <v>9</v>
      </c>
      <c r="I290" s="3">
        <f t="shared" si="4"/>
        <v>17.700000000000003</v>
      </c>
    </row>
    <row r="291" spans="1:9" ht="15.75" customHeight="1" x14ac:dyDescent="0.25">
      <c r="A291" s="9">
        <v>534765</v>
      </c>
      <c r="B291" s="2">
        <v>22144</v>
      </c>
      <c r="C291" s="22" t="s">
        <v>368</v>
      </c>
      <c r="D291" s="6">
        <v>3</v>
      </c>
      <c r="E291" s="26">
        <v>40506.434027777781</v>
      </c>
      <c r="F291" s="11">
        <v>2.1</v>
      </c>
      <c r="G291" s="9">
        <v>15555</v>
      </c>
      <c r="H291" s="1" t="s">
        <v>9</v>
      </c>
      <c r="I291" s="3">
        <f t="shared" si="4"/>
        <v>6.3000000000000007</v>
      </c>
    </row>
    <row r="292" spans="1:9" ht="15.75" customHeight="1" x14ac:dyDescent="0.25">
      <c r="A292" s="9">
        <v>501793</v>
      </c>
      <c r="B292" s="2">
        <v>22111</v>
      </c>
      <c r="C292" s="22" t="s">
        <v>178</v>
      </c>
      <c r="D292" s="6">
        <v>3</v>
      </c>
      <c r="E292" s="26">
        <v>40256.563888888893</v>
      </c>
      <c r="F292" s="11">
        <v>4.95</v>
      </c>
      <c r="G292" s="9">
        <v>15329</v>
      </c>
      <c r="H292" s="1" t="s">
        <v>9</v>
      </c>
      <c r="I292" s="3">
        <f t="shared" si="4"/>
        <v>14.850000000000001</v>
      </c>
    </row>
    <row r="293" spans="1:9" ht="15.75" customHeight="1" x14ac:dyDescent="0.25">
      <c r="A293" s="9">
        <v>496990</v>
      </c>
      <c r="B293" s="2">
        <v>22411</v>
      </c>
      <c r="C293" s="22" t="s">
        <v>369</v>
      </c>
      <c r="D293" s="6">
        <v>100</v>
      </c>
      <c r="E293" s="26">
        <v>40214.473611111112</v>
      </c>
      <c r="F293" s="11">
        <v>1.65</v>
      </c>
      <c r="G293" s="9">
        <v>14607</v>
      </c>
      <c r="H293" s="1" t="s">
        <v>9</v>
      </c>
      <c r="I293" s="3">
        <f t="shared" si="4"/>
        <v>165</v>
      </c>
    </row>
    <row r="294" spans="1:9" ht="15.75" customHeight="1" x14ac:dyDescent="0.25">
      <c r="A294" s="9">
        <v>500030</v>
      </c>
      <c r="B294" s="2" t="s">
        <v>370</v>
      </c>
      <c r="C294" s="22" t="s">
        <v>371</v>
      </c>
      <c r="D294" s="6">
        <v>1</v>
      </c>
      <c r="E294" s="26">
        <v>40241.478472222218</v>
      </c>
      <c r="F294" s="11">
        <v>10.65</v>
      </c>
      <c r="G294" s="9">
        <v>14527</v>
      </c>
      <c r="H294" s="1" t="s">
        <v>9</v>
      </c>
      <c r="I294" s="3">
        <f t="shared" si="4"/>
        <v>10.65</v>
      </c>
    </row>
    <row r="295" spans="1:9" ht="15.75" customHeight="1" x14ac:dyDescent="0.25">
      <c r="A295" s="9" t="s">
        <v>372</v>
      </c>
      <c r="B295" s="2">
        <v>21346</v>
      </c>
      <c r="C295" s="22" t="s">
        <v>373</v>
      </c>
      <c r="D295" s="8">
        <v>-1</v>
      </c>
      <c r="E295" s="26">
        <v>40200.594444444447</v>
      </c>
      <c r="F295" s="11">
        <v>5.95</v>
      </c>
      <c r="G295" s="9">
        <v>17243</v>
      </c>
      <c r="H295" s="1" t="s">
        <v>9</v>
      </c>
      <c r="I295" s="3">
        <f t="shared" si="4"/>
        <v>-5.95</v>
      </c>
    </row>
    <row r="296" spans="1:9" ht="15.75" customHeight="1" x14ac:dyDescent="0.25">
      <c r="A296" s="9">
        <v>529093</v>
      </c>
      <c r="B296" s="2">
        <v>82484</v>
      </c>
      <c r="C296" s="22" t="s">
        <v>25</v>
      </c>
      <c r="D296" s="6">
        <v>6</v>
      </c>
      <c r="E296" s="26">
        <v>40477.568749999999</v>
      </c>
      <c r="F296" s="11">
        <v>6.45</v>
      </c>
      <c r="G296" s="9">
        <v>14911</v>
      </c>
      <c r="H296" s="1" t="s">
        <v>978</v>
      </c>
      <c r="I296" s="3">
        <f t="shared" si="4"/>
        <v>38.700000000000003</v>
      </c>
    </row>
    <row r="297" spans="1:9" ht="15.75" customHeight="1" x14ac:dyDescent="0.25">
      <c r="A297" s="9">
        <v>524726</v>
      </c>
      <c r="B297" s="2">
        <v>85047</v>
      </c>
      <c r="C297" s="22" t="s">
        <v>374</v>
      </c>
      <c r="D297" s="6">
        <v>3</v>
      </c>
      <c r="E297" s="26">
        <v>40451.59652777778</v>
      </c>
      <c r="F297" s="11">
        <v>6.35</v>
      </c>
      <c r="G297" s="9">
        <v>15736</v>
      </c>
      <c r="H297" s="1" t="s">
        <v>9</v>
      </c>
      <c r="I297" s="3">
        <f t="shared" si="4"/>
        <v>19.049999999999997</v>
      </c>
    </row>
    <row r="298" spans="1:9" ht="15.75" customHeight="1" x14ac:dyDescent="0.25">
      <c r="A298" s="9">
        <v>492729</v>
      </c>
      <c r="B298" s="2">
        <v>21552</v>
      </c>
      <c r="C298" s="22" t="s">
        <v>375</v>
      </c>
      <c r="D298" s="6">
        <v>1</v>
      </c>
      <c r="E298" s="26">
        <v>40165.480555555558</v>
      </c>
      <c r="F298" s="11">
        <v>5.95</v>
      </c>
      <c r="G298" s="9">
        <v>15911</v>
      </c>
      <c r="H298" s="1" t="s">
        <v>9</v>
      </c>
      <c r="I298" s="3">
        <f t="shared" si="4"/>
        <v>5.95</v>
      </c>
    </row>
    <row r="299" spans="1:9" ht="15.75" customHeight="1" x14ac:dyDescent="0.25">
      <c r="A299" s="9">
        <v>525761</v>
      </c>
      <c r="B299" s="2">
        <v>22145</v>
      </c>
      <c r="C299" s="22" t="s">
        <v>376</v>
      </c>
      <c r="D299" s="6">
        <v>12</v>
      </c>
      <c r="E299" s="26">
        <v>40458.442361111112</v>
      </c>
      <c r="F299" s="11">
        <v>2.1</v>
      </c>
      <c r="G299" s="9">
        <v>16325</v>
      </c>
      <c r="H299" s="1" t="s">
        <v>9</v>
      </c>
      <c r="I299" s="3">
        <f t="shared" si="4"/>
        <v>25.200000000000003</v>
      </c>
    </row>
    <row r="300" spans="1:9" ht="15.75" customHeight="1" x14ac:dyDescent="0.25">
      <c r="A300" s="9">
        <v>528743</v>
      </c>
      <c r="B300" s="2">
        <v>82483</v>
      </c>
      <c r="C300" s="22" t="s">
        <v>377</v>
      </c>
      <c r="D300" s="6">
        <v>4</v>
      </c>
      <c r="E300" s="26">
        <v>40475.594444444447</v>
      </c>
      <c r="F300" s="11">
        <v>5.95</v>
      </c>
      <c r="G300" s="9">
        <v>17858</v>
      </c>
      <c r="H300" s="1" t="s">
        <v>9</v>
      </c>
      <c r="I300" s="3">
        <f t="shared" si="4"/>
        <v>23.8</v>
      </c>
    </row>
    <row r="301" spans="1:9" ht="15.75" customHeight="1" x14ac:dyDescent="0.25">
      <c r="A301" s="9">
        <v>511041</v>
      </c>
      <c r="B301" s="2">
        <v>20685</v>
      </c>
      <c r="C301" s="22" t="s">
        <v>280</v>
      </c>
      <c r="D301" s="6">
        <v>2</v>
      </c>
      <c r="E301" s="26">
        <v>40335.472916666673</v>
      </c>
      <c r="F301" s="11">
        <v>7.49</v>
      </c>
      <c r="G301" s="9">
        <v>12932</v>
      </c>
      <c r="H301" s="1" t="s">
        <v>9</v>
      </c>
      <c r="I301" s="3">
        <f t="shared" si="4"/>
        <v>14.98</v>
      </c>
    </row>
    <row r="302" spans="1:9" ht="15.75" customHeight="1" x14ac:dyDescent="0.25">
      <c r="A302" s="9">
        <v>518509</v>
      </c>
      <c r="B302" s="2" t="s">
        <v>378</v>
      </c>
      <c r="C302" s="22" t="s">
        <v>379</v>
      </c>
      <c r="D302" s="6">
        <v>16</v>
      </c>
      <c r="E302" s="26">
        <v>40399.61041666667</v>
      </c>
      <c r="F302" s="11">
        <v>0.42</v>
      </c>
      <c r="G302" s="9">
        <v>14498</v>
      </c>
      <c r="H302" s="1" t="s">
        <v>9</v>
      </c>
      <c r="I302" s="3">
        <f t="shared" si="4"/>
        <v>6.72</v>
      </c>
    </row>
    <row r="303" spans="1:9" ht="15.75" customHeight="1" x14ac:dyDescent="0.25">
      <c r="A303" s="9">
        <v>489866</v>
      </c>
      <c r="B303" s="2" t="s">
        <v>380</v>
      </c>
      <c r="C303" s="22" t="s">
        <v>381</v>
      </c>
      <c r="D303" s="6" t="s">
        <v>120</v>
      </c>
      <c r="E303" s="26">
        <v>40149.62777777778</v>
      </c>
      <c r="F303" s="11">
        <v>1.95</v>
      </c>
      <c r="G303" s="9">
        <v>16200</v>
      </c>
      <c r="H303" s="1" t="s">
        <v>9</v>
      </c>
      <c r="I303" s="3">
        <f t="shared" si="4"/>
        <v>23.4</v>
      </c>
    </row>
    <row r="304" spans="1:9" ht="15.75" customHeight="1" x14ac:dyDescent="0.25">
      <c r="A304" s="9">
        <v>534083</v>
      </c>
      <c r="B304" s="2">
        <v>22582</v>
      </c>
      <c r="C304" s="22" t="s">
        <v>382</v>
      </c>
      <c r="D304" s="6">
        <v>4</v>
      </c>
      <c r="E304" s="26">
        <v>40503.494444444441</v>
      </c>
      <c r="F304" s="11">
        <v>2.5499999999999998</v>
      </c>
      <c r="G304" s="9">
        <v>13668</v>
      </c>
      <c r="H304" s="1" t="s">
        <v>9</v>
      </c>
      <c r="I304" s="3">
        <f t="shared" si="4"/>
        <v>10.199999999999999</v>
      </c>
    </row>
    <row r="305" spans="1:9" ht="15.75" customHeight="1" x14ac:dyDescent="0.25">
      <c r="A305" s="9">
        <v>525856</v>
      </c>
      <c r="B305" s="2">
        <v>22726</v>
      </c>
      <c r="C305" s="22" t="s">
        <v>383</v>
      </c>
      <c r="D305" s="6">
        <v>1</v>
      </c>
      <c r="E305" s="26">
        <v>40458.545138888891</v>
      </c>
      <c r="F305" s="11">
        <v>3.75</v>
      </c>
      <c r="G305" s="9">
        <v>13569</v>
      </c>
      <c r="H305" s="1" t="s">
        <v>9</v>
      </c>
      <c r="I305" s="3">
        <f t="shared" si="4"/>
        <v>3.75</v>
      </c>
    </row>
    <row r="306" spans="1:9" ht="15.75" customHeight="1" x14ac:dyDescent="0.25">
      <c r="A306" s="9">
        <v>512177</v>
      </c>
      <c r="B306" s="2">
        <v>22492</v>
      </c>
      <c r="C306" s="22" t="s">
        <v>384</v>
      </c>
      <c r="D306" s="6">
        <v>36</v>
      </c>
      <c r="E306" s="26">
        <v>40343.500694444447</v>
      </c>
      <c r="F306" s="11">
        <v>0.65</v>
      </c>
      <c r="G306" s="9">
        <v>15150</v>
      </c>
      <c r="H306" s="1" t="s">
        <v>9</v>
      </c>
      <c r="I306" s="3">
        <f t="shared" si="4"/>
        <v>23.400000000000002</v>
      </c>
    </row>
    <row r="307" spans="1:9" ht="15.75" customHeight="1" x14ac:dyDescent="0.25">
      <c r="A307" s="9">
        <v>504340</v>
      </c>
      <c r="B307" s="2">
        <v>22217</v>
      </c>
      <c r="C307" s="22" t="s">
        <v>385</v>
      </c>
      <c r="D307" s="6">
        <v>12</v>
      </c>
      <c r="E307" s="26">
        <v>40280.701388888891</v>
      </c>
      <c r="F307" s="11">
        <v>1.25</v>
      </c>
      <c r="G307" s="9">
        <v>13564</v>
      </c>
      <c r="H307" s="1" t="s">
        <v>9</v>
      </c>
      <c r="I307" s="3">
        <f t="shared" si="4"/>
        <v>15</v>
      </c>
    </row>
    <row r="308" spans="1:9" ht="15.75" customHeight="1" x14ac:dyDescent="0.25">
      <c r="A308" s="9">
        <v>507390</v>
      </c>
      <c r="B308" s="2">
        <v>22358</v>
      </c>
      <c r="C308" s="22" t="s">
        <v>386</v>
      </c>
      <c r="D308" s="6">
        <v>6</v>
      </c>
      <c r="E308" s="26">
        <v>40307.512499999997</v>
      </c>
      <c r="F308" s="11">
        <v>2.95</v>
      </c>
      <c r="G308" s="9">
        <v>15498</v>
      </c>
      <c r="H308" s="1" t="s">
        <v>9</v>
      </c>
      <c r="I308" s="3">
        <f t="shared" si="4"/>
        <v>17.700000000000003</v>
      </c>
    </row>
    <row r="309" spans="1:9" ht="15.75" customHeight="1" x14ac:dyDescent="0.25">
      <c r="A309" s="9">
        <v>498705</v>
      </c>
      <c r="B309" s="2">
        <v>21843</v>
      </c>
      <c r="C309" s="22" t="s">
        <v>253</v>
      </c>
      <c r="D309" s="6">
        <v>4</v>
      </c>
      <c r="E309" s="26">
        <v>40231.530555555553</v>
      </c>
      <c r="F309" s="11">
        <v>10.95</v>
      </c>
      <c r="G309" s="9">
        <v>14680</v>
      </c>
      <c r="H309" s="1" t="s">
        <v>9</v>
      </c>
      <c r="I309" s="3">
        <f t="shared" si="4"/>
        <v>43.8</v>
      </c>
    </row>
    <row r="310" spans="1:9" ht="15.75" customHeight="1" x14ac:dyDescent="0.25">
      <c r="A310" s="9">
        <v>503543</v>
      </c>
      <c r="B310" s="2">
        <v>22147</v>
      </c>
      <c r="C310" s="22" t="s">
        <v>387</v>
      </c>
      <c r="D310" s="6">
        <v>1</v>
      </c>
      <c r="E310" s="26">
        <v>40269.599305555559</v>
      </c>
      <c r="F310" s="11">
        <v>1.45</v>
      </c>
      <c r="G310" s="9">
        <v>17993</v>
      </c>
      <c r="H310" s="1" t="s">
        <v>9</v>
      </c>
      <c r="I310" s="3">
        <f t="shared" si="4"/>
        <v>1.45</v>
      </c>
    </row>
    <row r="311" spans="1:9" ht="15.75" customHeight="1" x14ac:dyDescent="0.25">
      <c r="A311" s="9">
        <v>536088</v>
      </c>
      <c r="B311" s="2">
        <v>22602</v>
      </c>
      <c r="C311" s="22" t="s">
        <v>388</v>
      </c>
      <c r="D311" s="6">
        <v>9</v>
      </c>
      <c r="E311" s="27" t="s">
        <v>389</v>
      </c>
      <c r="F311" s="11">
        <v>0.85</v>
      </c>
      <c r="G311" s="9">
        <v>16782</v>
      </c>
      <c r="H311" s="1" t="s">
        <v>9</v>
      </c>
      <c r="I311" s="3">
        <f t="shared" si="4"/>
        <v>7.6499999999999995</v>
      </c>
    </row>
    <row r="312" spans="1:9" ht="15.75" customHeight="1" x14ac:dyDescent="0.25">
      <c r="A312" s="9">
        <v>530165</v>
      </c>
      <c r="B312" s="2">
        <v>21790</v>
      </c>
      <c r="C312" s="22" t="s">
        <v>257</v>
      </c>
      <c r="D312" s="6">
        <v>12</v>
      </c>
      <c r="E312" s="26">
        <v>40484.367361111108</v>
      </c>
      <c r="F312" s="11">
        <v>0.85</v>
      </c>
      <c r="G312" s="9">
        <v>16612</v>
      </c>
      <c r="H312" s="1" t="s">
        <v>9</v>
      </c>
      <c r="I312" s="3">
        <f t="shared" si="4"/>
        <v>10.199999999999999</v>
      </c>
    </row>
    <row r="313" spans="1:9" ht="15.75" customHeight="1" x14ac:dyDescent="0.25">
      <c r="A313" s="9">
        <v>522826</v>
      </c>
      <c r="B313" s="2">
        <v>22457</v>
      </c>
      <c r="C313" s="22" t="s">
        <v>390</v>
      </c>
      <c r="D313" s="6">
        <v>6</v>
      </c>
      <c r="E313" s="26">
        <v>40438.427777777782</v>
      </c>
      <c r="F313" s="11">
        <v>2.95</v>
      </c>
      <c r="G313" s="9">
        <v>13564</v>
      </c>
      <c r="H313" s="1" t="s">
        <v>9</v>
      </c>
      <c r="I313" s="3">
        <f t="shared" si="4"/>
        <v>17.700000000000003</v>
      </c>
    </row>
    <row r="314" spans="1:9" ht="15.75" customHeight="1" x14ac:dyDescent="0.25">
      <c r="A314" s="9">
        <v>498596</v>
      </c>
      <c r="B314" s="2">
        <v>22080</v>
      </c>
      <c r="C314" s="22" t="s">
        <v>391</v>
      </c>
      <c r="D314" s="6">
        <v>10</v>
      </c>
      <c r="E314" s="26">
        <v>40230.665277777778</v>
      </c>
      <c r="F314" s="11">
        <v>1.65</v>
      </c>
      <c r="G314" s="9">
        <v>13152</v>
      </c>
      <c r="H314" s="1" t="s">
        <v>9</v>
      </c>
      <c r="I314" s="3">
        <f t="shared" si="4"/>
        <v>16.5</v>
      </c>
    </row>
    <row r="315" spans="1:9" ht="15.75" customHeight="1" x14ac:dyDescent="0.25">
      <c r="A315" s="9">
        <v>510737</v>
      </c>
      <c r="B315" s="2">
        <v>22150</v>
      </c>
      <c r="C315" s="22" t="s">
        <v>392</v>
      </c>
      <c r="D315" s="6">
        <v>6</v>
      </c>
      <c r="E315" s="26">
        <v>40332.488888888889</v>
      </c>
      <c r="F315" s="11">
        <v>1.95</v>
      </c>
      <c r="G315" s="9">
        <v>16279</v>
      </c>
      <c r="H315" s="1" t="s">
        <v>9</v>
      </c>
      <c r="I315" s="3">
        <f t="shared" si="4"/>
        <v>11.7</v>
      </c>
    </row>
    <row r="316" spans="1:9" ht="15.75" customHeight="1" x14ac:dyDescent="0.25">
      <c r="A316" s="9">
        <v>496773</v>
      </c>
      <c r="B316" s="2" t="s">
        <v>393</v>
      </c>
      <c r="C316" s="22" t="s">
        <v>394</v>
      </c>
      <c r="D316" s="6">
        <v>2</v>
      </c>
      <c r="E316" s="26">
        <v>40212.65625</v>
      </c>
      <c r="F316" s="11">
        <v>1.65</v>
      </c>
      <c r="G316" s="9">
        <v>15023</v>
      </c>
      <c r="H316" s="1" t="s">
        <v>9</v>
      </c>
      <c r="I316" s="3">
        <f t="shared" si="4"/>
        <v>3.3</v>
      </c>
    </row>
    <row r="317" spans="1:9" ht="15.75" customHeight="1" x14ac:dyDescent="0.25">
      <c r="A317" s="9">
        <v>535274</v>
      </c>
      <c r="B317" s="2">
        <v>22576</v>
      </c>
      <c r="C317" s="22" t="s">
        <v>258</v>
      </c>
      <c r="D317" s="6">
        <v>14</v>
      </c>
      <c r="E317" s="26">
        <v>40507.57708333333</v>
      </c>
      <c r="F317" s="11">
        <v>0.85</v>
      </c>
      <c r="G317" s="9">
        <v>14415</v>
      </c>
      <c r="H317" s="1" t="s">
        <v>9</v>
      </c>
      <c r="I317" s="3">
        <f t="shared" si="4"/>
        <v>11.9</v>
      </c>
    </row>
    <row r="318" spans="1:9" ht="15.75" customHeight="1" x14ac:dyDescent="0.25">
      <c r="A318" s="9">
        <v>532004</v>
      </c>
      <c r="B318" s="2" t="s">
        <v>395</v>
      </c>
      <c r="C318" s="22" t="s">
        <v>396</v>
      </c>
      <c r="D318" s="6">
        <v>2</v>
      </c>
      <c r="E318" s="26">
        <v>40492.526388888888</v>
      </c>
      <c r="F318" s="11">
        <v>3.75</v>
      </c>
      <c r="G318" s="9">
        <v>14177</v>
      </c>
      <c r="H318" s="1" t="s">
        <v>9</v>
      </c>
      <c r="I318" s="3">
        <f t="shared" si="4"/>
        <v>7.5</v>
      </c>
    </row>
    <row r="319" spans="1:9" ht="15.75" customHeight="1" x14ac:dyDescent="0.25">
      <c r="A319" s="9">
        <v>529156</v>
      </c>
      <c r="B319" s="2">
        <v>22575</v>
      </c>
      <c r="C319" s="22" t="s">
        <v>19</v>
      </c>
      <c r="D319" s="6">
        <v>1</v>
      </c>
      <c r="E319" s="26">
        <v>40477.699305555558</v>
      </c>
      <c r="F319" s="11">
        <v>1.95</v>
      </c>
      <c r="G319" s="9">
        <v>16549</v>
      </c>
      <c r="H319" s="1" t="s">
        <v>9</v>
      </c>
      <c r="I319" s="3">
        <f t="shared" si="4"/>
        <v>1.95</v>
      </c>
    </row>
    <row r="320" spans="1:9" ht="15.75" customHeight="1" x14ac:dyDescent="0.25">
      <c r="A320" s="9">
        <v>529213</v>
      </c>
      <c r="B320" s="2">
        <v>72741</v>
      </c>
      <c r="C320" s="22" t="s">
        <v>397</v>
      </c>
      <c r="D320" s="6">
        <v>9</v>
      </c>
      <c r="E320" s="26">
        <v>40478.438888888893</v>
      </c>
      <c r="F320" s="11">
        <v>1.45</v>
      </c>
      <c r="G320" s="9">
        <v>15198</v>
      </c>
      <c r="H320" s="1" t="s">
        <v>9</v>
      </c>
      <c r="I320" s="3">
        <f t="shared" si="4"/>
        <v>13.049999999999999</v>
      </c>
    </row>
    <row r="321" spans="1:9" ht="15.75" customHeight="1" x14ac:dyDescent="0.25">
      <c r="A321" s="9">
        <v>499236</v>
      </c>
      <c r="B321" s="2">
        <v>21742</v>
      </c>
      <c r="C321" s="22" t="s">
        <v>398</v>
      </c>
      <c r="D321" s="6">
        <v>1</v>
      </c>
      <c r="E321" s="26">
        <v>40234.553472222222</v>
      </c>
      <c r="F321" s="11">
        <v>5.95</v>
      </c>
      <c r="G321" s="9">
        <v>13240</v>
      </c>
      <c r="H321" s="1" t="s">
        <v>9</v>
      </c>
      <c r="I321" s="3">
        <f t="shared" si="4"/>
        <v>5.95</v>
      </c>
    </row>
    <row r="322" spans="1:9" ht="15.75" customHeight="1" x14ac:dyDescent="0.25">
      <c r="A322" s="9" t="s">
        <v>399</v>
      </c>
      <c r="B322" s="2">
        <v>84992</v>
      </c>
      <c r="C322" s="22" t="s">
        <v>400</v>
      </c>
      <c r="D322" s="6">
        <v>24</v>
      </c>
      <c r="E322" s="26">
        <v>40207.42083333333</v>
      </c>
      <c r="F322" s="11">
        <v>0.55000000000000004</v>
      </c>
      <c r="G322" s="9">
        <v>13085</v>
      </c>
      <c r="H322" s="1" t="s">
        <v>9</v>
      </c>
      <c r="I322" s="3">
        <f t="shared" ref="I322:I385" si="5">(D322 *F322)</f>
        <v>13.200000000000001</v>
      </c>
    </row>
    <row r="323" spans="1:9" ht="15.75" customHeight="1" x14ac:dyDescent="0.25">
      <c r="A323" s="9">
        <v>508653</v>
      </c>
      <c r="B323" s="2" t="s">
        <v>395</v>
      </c>
      <c r="C323" s="22" t="s">
        <v>401</v>
      </c>
      <c r="D323" s="6">
        <v>4</v>
      </c>
      <c r="E323" s="26">
        <v>40315.662499999999</v>
      </c>
      <c r="F323" s="11">
        <v>3.75</v>
      </c>
      <c r="G323" s="9">
        <v>17228</v>
      </c>
      <c r="H323" s="1" t="s">
        <v>9</v>
      </c>
      <c r="I323" s="3">
        <f t="shared" si="5"/>
        <v>15</v>
      </c>
    </row>
    <row r="324" spans="1:9" ht="15.75" customHeight="1" x14ac:dyDescent="0.25">
      <c r="A324" s="9" t="s">
        <v>402</v>
      </c>
      <c r="B324" s="2">
        <v>22352</v>
      </c>
      <c r="C324" s="22" t="s">
        <v>403</v>
      </c>
      <c r="D324" s="6">
        <v>-12</v>
      </c>
      <c r="E324" s="26">
        <v>40155.493750000001</v>
      </c>
      <c r="F324" s="11">
        <v>2.5499999999999998</v>
      </c>
      <c r="G324" s="9">
        <v>14277</v>
      </c>
      <c r="H324" s="1" t="s">
        <v>28</v>
      </c>
      <c r="I324" s="3">
        <f t="shared" si="5"/>
        <v>-30.599999999999998</v>
      </c>
    </row>
    <row r="325" spans="1:9" ht="15.75" customHeight="1" x14ac:dyDescent="0.25">
      <c r="A325" s="9">
        <v>490636</v>
      </c>
      <c r="B325" s="2">
        <v>82585</v>
      </c>
      <c r="C325" s="22" t="s">
        <v>405</v>
      </c>
      <c r="D325" s="6">
        <v>4</v>
      </c>
      <c r="E325" s="26">
        <v>40154.505555555559</v>
      </c>
      <c r="F325" s="11">
        <v>1.25</v>
      </c>
      <c r="G325" s="9">
        <v>13564</v>
      </c>
      <c r="H325" s="1" t="s">
        <v>9</v>
      </c>
      <c r="I325" s="3">
        <f t="shared" si="5"/>
        <v>5</v>
      </c>
    </row>
    <row r="326" spans="1:9" ht="15.75" customHeight="1" x14ac:dyDescent="0.25">
      <c r="A326" s="9">
        <v>510781</v>
      </c>
      <c r="B326" s="2">
        <v>21796</v>
      </c>
      <c r="C326" s="22" t="s">
        <v>406</v>
      </c>
      <c r="D326" s="6">
        <v>1</v>
      </c>
      <c r="E326" s="26">
        <v>40332.636805555558</v>
      </c>
      <c r="F326" s="11">
        <v>12.75</v>
      </c>
      <c r="G326" s="9">
        <v>16892</v>
      </c>
      <c r="H326" s="1" t="s">
        <v>9</v>
      </c>
      <c r="I326" s="3">
        <f t="shared" si="5"/>
        <v>12.75</v>
      </c>
    </row>
    <row r="327" spans="1:9" ht="15.75" customHeight="1" x14ac:dyDescent="0.25">
      <c r="A327" s="9">
        <v>521223</v>
      </c>
      <c r="B327" s="2">
        <v>22411</v>
      </c>
      <c r="C327" s="22" t="s">
        <v>206</v>
      </c>
      <c r="D327" s="6">
        <v>10</v>
      </c>
      <c r="E327" s="26">
        <v>40424.446527777778</v>
      </c>
      <c r="F327" s="11">
        <v>1.95</v>
      </c>
      <c r="G327" s="9">
        <v>17454</v>
      </c>
      <c r="H327" s="1" t="s">
        <v>9</v>
      </c>
      <c r="I327" s="3">
        <f t="shared" si="5"/>
        <v>19.5</v>
      </c>
    </row>
    <row r="328" spans="1:9" ht="15.75" customHeight="1" x14ac:dyDescent="0.25">
      <c r="A328" s="9">
        <v>505443</v>
      </c>
      <c r="B328" s="2">
        <v>21313</v>
      </c>
      <c r="C328" s="22" t="s">
        <v>407</v>
      </c>
      <c r="D328" s="6">
        <v>12</v>
      </c>
      <c r="E328" s="26">
        <v>40290.451388888891</v>
      </c>
      <c r="F328" s="11">
        <v>0.85</v>
      </c>
      <c r="G328" s="9">
        <v>13625</v>
      </c>
      <c r="H328" s="1" t="s">
        <v>9</v>
      </c>
      <c r="I328" s="3">
        <f t="shared" si="5"/>
        <v>10.199999999999999</v>
      </c>
    </row>
    <row r="329" spans="1:9" ht="15.75" customHeight="1" x14ac:dyDescent="0.25">
      <c r="A329" s="9">
        <v>507445</v>
      </c>
      <c r="B329" s="2">
        <v>22520</v>
      </c>
      <c r="C329" s="22" t="s">
        <v>408</v>
      </c>
      <c r="D329" s="6">
        <v>12</v>
      </c>
      <c r="E329" s="26">
        <v>40308.401388888888</v>
      </c>
      <c r="F329" s="11">
        <v>0.85</v>
      </c>
      <c r="G329" s="9">
        <v>14329</v>
      </c>
      <c r="H329" s="1" t="s">
        <v>9</v>
      </c>
      <c r="I329" s="3">
        <f t="shared" si="5"/>
        <v>10.199999999999999</v>
      </c>
    </row>
    <row r="330" spans="1:9" ht="15.75" customHeight="1" x14ac:dyDescent="0.25">
      <c r="A330" s="9">
        <v>527740</v>
      </c>
      <c r="B330" s="2">
        <v>22444</v>
      </c>
      <c r="C330" s="22" t="s">
        <v>409</v>
      </c>
      <c r="D330" s="6">
        <v>24</v>
      </c>
      <c r="E330" s="26">
        <v>40469.658333333333</v>
      </c>
      <c r="F330" s="11">
        <v>1.25</v>
      </c>
      <c r="G330" s="9">
        <v>14157</v>
      </c>
      <c r="H330" s="1" t="s">
        <v>9</v>
      </c>
      <c r="I330" s="3">
        <f t="shared" si="5"/>
        <v>30</v>
      </c>
    </row>
    <row r="331" spans="1:9" ht="15.75" customHeight="1" x14ac:dyDescent="0.25">
      <c r="A331" s="9">
        <v>527819</v>
      </c>
      <c r="B331" s="2">
        <v>22523</v>
      </c>
      <c r="C331" s="22" t="s">
        <v>410</v>
      </c>
      <c r="D331" s="6" t="s">
        <v>330</v>
      </c>
      <c r="E331" s="26">
        <v>40470.473611111112</v>
      </c>
      <c r="F331" s="11">
        <v>0.85</v>
      </c>
      <c r="G331" s="9" t="s">
        <v>411</v>
      </c>
      <c r="H331" s="1" t="s">
        <v>9</v>
      </c>
      <c r="I331" s="3">
        <f t="shared" si="5"/>
        <v>0.85</v>
      </c>
    </row>
    <row r="332" spans="1:9" ht="15.75" customHeight="1" x14ac:dyDescent="0.25">
      <c r="A332" s="9">
        <v>524524</v>
      </c>
      <c r="B332" s="2">
        <v>22118</v>
      </c>
      <c r="C332" s="22" t="s">
        <v>101</v>
      </c>
      <c r="D332" s="6">
        <v>2</v>
      </c>
      <c r="E332" s="26">
        <v>40450.551388888889</v>
      </c>
      <c r="F332" s="11">
        <v>4.95</v>
      </c>
      <c r="G332" s="9" t="s">
        <v>412</v>
      </c>
      <c r="H332" s="1" t="s">
        <v>9</v>
      </c>
      <c r="I332" s="3">
        <f t="shared" si="5"/>
        <v>9.9</v>
      </c>
    </row>
    <row r="333" spans="1:9" ht="15.75" customHeight="1" x14ac:dyDescent="0.25">
      <c r="A333" s="9">
        <v>518665</v>
      </c>
      <c r="B333" s="2">
        <v>84950</v>
      </c>
      <c r="C333" s="22" t="s">
        <v>413</v>
      </c>
      <c r="D333" s="6">
        <v>24</v>
      </c>
      <c r="E333" s="26">
        <v>40400.613194444442</v>
      </c>
      <c r="F333" s="11">
        <v>0.85</v>
      </c>
      <c r="G333" s="9">
        <v>14478</v>
      </c>
      <c r="H333" s="1" t="s">
        <v>9</v>
      </c>
      <c r="I333" s="3">
        <f t="shared" si="5"/>
        <v>20.399999999999999</v>
      </c>
    </row>
    <row r="334" spans="1:9" ht="15.75" customHeight="1" x14ac:dyDescent="0.25">
      <c r="A334" s="9">
        <v>507129</v>
      </c>
      <c r="B334" s="2">
        <v>21034</v>
      </c>
      <c r="C334" s="22" t="s">
        <v>414</v>
      </c>
      <c r="D334" s="6">
        <v>1</v>
      </c>
      <c r="E334" s="26">
        <v>40304.510416666657</v>
      </c>
      <c r="F334" s="11">
        <v>0.95</v>
      </c>
      <c r="G334" s="9">
        <v>15860</v>
      </c>
      <c r="H334" s="1" t="s">
        <v>9</v>
      </c>
      <c r="I334" s="3">
        <f t="shared" si="5"/>
        <v>0.95</v>
      </c>
    </row>
    <row r="335" spans="1:9" ht="15.75" customHeight="1" x14ac:dyDescent="0.25">
      <c r="A335" s="9">
        <v>531374</v>
      </c>
      <c r="B335" s="2">
        <v>21559</v>
      </c>
      <c r="C335" s="22" t="s">
        <v>415</v>
      </c>
      <c r="D335" s="6">
        <v>6</v>
      </c>
      <c r="E335" s="26">
        <v>40489.659722222219</v>
      </c>
      <c r="F335" s="11">
        <v>2.5499999999999998</v>
      </c>
      <c r="G335" s="9">
        <v>13178</v>
      </c>
      <c r="H335" s="1" t="s">
        <v>9</v>
      </c>
      <c r="I335" s="3">
        <f t="shared" si="5"/>
        <v>15.299999999999999</v>
      </c>
    </row>
    <row r="336" spans="1:9" ht="15.75" customHeight="1" x14ac:dyDescent="0.25">
      <c r="A336" s="9">
        <v>532337</v>
      </c>
      <c r="B336" s="2" t="s">
        <v>153</v>
      </c>
      <c r="C336" s="22" t="s">
        <v>154</v>
      </c>
      <c r="D336" s="6">
        <v>2</v>
      </c>
      <c r="E336" s="26">
        <v>40493.65902777778</v>
      </c>
      <c r="F336" s="11">
        <v>2.95</v>
      </c>
      <c r="G336" s="9">
        <v>13263</v>
      </c>
      <c r="H336" s="1" t="s">
        <v>9</v>
      </c>
      <c r="I336" s="3">
        <f t="shared" si="5"/>
        <v>5.9</v>
      </c>
    </row>
    <row r="337" spans="1:9" ht="15.75" customHeight="1" x14ac:dyDescent="0.25">
      <c r="A337" s="9">
        <v>522334</v>
      </c>
      <c r="B337" s="2">
        <v>84975</v>
      </c>
      <c r="C337" s="22" t="s">
        <v>416</v>
      </c>
      <c r="D337" s="6">
        <v>36</v>
      </c>
      <c r="E337" s="26">
        <v>40435.404861111107</v>
      </c>
      <c r="F337" s="11">
        <v>1.69</v>
      </c>
      <c r="G337" s="9" t="s">
        <v>417</v>
      </c>
      <c r="H337" s="1" t="s">
        <v>9</v>
      </c>
      <c r="I337" s="3">
        <f t="shared" si="5"/>
        <v>60.839999999999996</v>
      </c>
    </row>
    <row r="338" spans="1:9" ht="15.75" customHeight="1" x14ac:dyDescent="0.25">
      <c r="A338" s="9">
        <v>496058</v>
      </c>
      <c r="B338" s="2">
        <v>90029</v>
      </c>
      <c r="C338" s="22" t="s">
        <v>418</v>
      </c>
      <c r="D338" s="6">
        <v>5</v>
      </c>
      <c r="E338" s="26">
        <v>40206.636805555558</v>
      </c>
      <c r="F338" s="11">
        <v>8.5</v>
      </c>
      <c r="G338" s="9">
        <v>17115</v>
      </c>
      <c r="H338" s="1" t="s">
        <v>9</v>
      </c>
      <c r="I338" s="3">
        <f t="shared" si="5"/>
        <v>42.5</v>
      </c>
    </row>
    <row r="339" spans="1:9" ht="15.75" customHeight="1" x14ac:dyDescent="0.25">
      <c r="A339" s="9">
        <v>526510</v>
      </c>
      <c r="B339" s="2">
        <v>21056</v>
      </c>
      <c r="C339" s="22" t="s">
        <v>419</v>
      </c>
      <c r="D339" s="6">
        <v>4</v>
      </c>
      <c r="E339" s="26">
        <v>40463.453472222223</v>
      </c>
      <c r="F339" s="11">
        <v>8.9499999999999993</v>
      </c>
      <c r="G339" s="9">
        <v>13299</v>
      </c>
      <c r="H339" s="1" t="s">
        <v>9</v>
      </c>
      <c r="I339" s="3">
        <f t="shared" si="5"/>
        <v>35.799999999999997</v>
      </c>
    </row>
    <row r="340" spans="1:9" ht="15.75" customHeight="1" x14ac:dyDescent="0.25">
      <c r="A340" s="9">
        <v>491068</v>
      </c>
      <c r="B340" s="2">
        <v>21755</v>
      </c>
      <c r="C340" s="22" t="s">
        <v>360</v>
      </c>
      <c r="D340" s="6">
        <v>4</v>
      </c>
      <c r="E340" s="26">
        <v>40156.512499999997</v>
      </c>
      <c r="F340" s="11">
        <v>5.95</v>
      </c>
      <c r="G340" s="9">
        <v>15768</v>
      </c>
      <c r="H340" s="1" t="s">
        <v>9</v>
      </c>
      <c r="I340" s="3">
        <f t="shared" si="5"/>
        <v>23.8</v>
      </c>
    </row>
    <row r="341" spans="1:9" ht="15.75" customHeight="1" x14ac:dyDescent="0.25">
      <c r="A341" s="9">
        <v>526236</v>
      </c>
      <c r="B341" s="2">
        <v>22068</v>
      </c>
      <c r="C341" s="22" t="s">
        <v>420</v>
      </c>
      <c r="D341" s="6">
        <v>2</v>
      </c>
      <c r="E341" s="26">
        <v>40461.672222222223</v>
      </c>
      <c r="F341" s="11">
        <v>1.65</v>
      </c>
      <c r="G341" s="9">
        <v>14723</v>
      </c>
      <c r="H341" s="1" t="s">
        <v>9</v>
      </c>
      <c r="I341" s="3">
        <f t="shared" si="5"/>
        <v>3.3</v>
      </c>
    </row>
    <row r="342" spans="1:9" ht="15.75" customHeight="1" x14ac:dyDescent="0.25">
      <c r="A342" s="9">
        <v>535946</v>
      </c>
      <c r="B342" s="2">
        <v>21484</v>
      </c>
      <c r="C342" s="22" t="s">
        <v>421</v>
      </c>
      <c r="D342" s="6">
        <v>2</v>
      </c>
      <c r="E342" s="26">
        <v>40511.495833333327</v>
      </c>
      <c r="F342" s="11">
        <v>3.45</v>
      </c>
      <c r="G342" s="9">
        <v>17345</v>
      </c>
      <c r="H342" s="1" t="s">
        <v>9</v>
      </c>
      <c r="I342" s="3">
        <f t="shared" si="5"/>
        <v>6.9</v>
      </c>
    </row>
    <row r="343" spans="1:9" ht="15.75" customHeight="1" x14ac:dyDescent="0.25">
      <c r="A343" s="9">
        <v>490609</v>
      </c>
      <c r="B343" s="2">
        <v>21479</v>
      </c>
      <c r="C343" s="22" t="s">
        <v>422</v>
      </c>
      <c r="D343" s="6">
        <v>3</v>
      </c>
      <c r="E343" s="26">
        <v>40154.48541666667</v>
      </c>
      <c r="F343" s="11">
        <v>3.75</v>
      </c>
      <c r="G343" s="9">
        <v>14037</v>
      </c>
      <c r="H343" s="1" t="s">
        <v>9</v>
      </c>
      <c r="I343" s="3">
        <f t="shared" si="5"/>
        <v>11.25</v>
      </c>
    </row>
    <row r="344" spans="1:9" ht="15.75" customHeight="1" x14ac:dyDescent="0.25">
      <c r="A344" s="9">
        <v>520561</v>
      </c>
      <c r="B344" s="2">
        <v>22625</v>
      </c>
      <c r="C344" s="22" t="s">
        <v>423</v>
      </c>
      <c r="D344" s="6">
        <v>2</v>
      </c>
      <c r="E344" s="26">
        <v>40416.698611111111</v>
      </c>
      <c r="F344" s="11">
        <v>8.5</v>
      </c>
      <c r="G344" s="9">
        <v>14769</v>
      </c>
      <c r="H344" s="1" t="s">
        <v>9</v>
      </c>
      <c r="I344" s="3">
        <f t="shared" si="5"/>
        <v>17</v>
      </c>
    </row>
    <row r="345" spans="1:9" ht="15.75" customHeight="1" x14ac:dyDescent="0.25">
      <c r="A345" s="9">
        <v>515150</v>
      </c>
      <c r="B345" s="2" t="s">
        <v>424</v>
      </c>
      <c r="C345" s="22" t="s">
        <v>425</v>
      </c>
      <c r="D345" s="6">
        <v>24</v>
      </c>
      <c r="E345" s="26">
        <v>40367.616666666669</v>
      </c>
      <c r="F345" s="11">
        <v>0.85</v>
      </c>
      <c r="G345" s="9">
        <v>18279</v>
      </c>
      <c r="H345" s="1" t="s">
        <v>9</v>
      </c>
      <c r="I345" s="3">
        <f t="shared" si="5"/>
        <v>20.399999999999999</v>
      </c>
    </row>
    <row r="346" spans="1:9" ht="15.75" customHeight="1" x14ac:dyDescent="0.25">
      <c r="A346" s="9">
        <v>531935</v>
      </c>
      <c r="B346" s="2">
        <v>22867</v>
      </c>
      <c r="C346" s="22" t="s">
        <v>426</v>
      </c>
      <c r="D346" s="6">
        <v>24</v>
      </c>
      <c r="E346" s="27" t="s">
        <v>427</v>
      </c>
      <c r="F346" s="11">
        <v>2.1</v>
      </c>
      <c r="G346" s="9">
        <v>15527</v>
      </c>
      <c r="H346" s="1" t="s">
        <v>9</v>
      </c>
      <c r="I346" s="3">
        <f t="shared" si="5"/>
        <v>50.400000000000006</v>
      </c>
    </row>
    <row r="347" spans="1:9" ht="15.75" customHeight="1" x14ac:dyDescent="0.25">
      <c r="A347" s="9">
        <v>535803</v>
      </c>
      <c r="B347" s="2">
        <v>22865</v>
      </c>
      <c r="C347" s="22" t="s">
        <v>428</v>
      </c>
      <c r="D347" s="6">
        <v>2</v>
      </c>
      <c r="E347" s="26">
        <v>40510.622916666667</v>
      </c>
      <c r="F347" s="11">
        <v>2.1</v>
      </c>
      <c r="G347" s="9">
        <v>14410</v>
      </c>
      <c r="H347" s="1" t="s">
        <v>9</v>
      </c>
      <c r="I347" s="3">
        <f t="shared" si="5"/>
        <v>4.2</v>
      </c>
    </row>
    <row r="348" spans="1:9" ht="15.75" customHeight="1" x14ac:dyDescent="0.25">
      <c r="A348" s="9">
        <v>494471</v>
      </c>
      <c r="B348" s="2">
        <v>21181</v>
      </c>
      <c r="C348" s="22" t="s">
        <v>429</v>
      </c>
      <c r="D348" s="6">
        <v>12</v>
      </c>
      <c r="E348" s="26">
        <v>40192.616666666669</v>
      </c>
      <c r="F348" s="11">
        <v>2.1</v>
      </c>
      <c r="G348" s="9">
        <v>13680</v>
      </c>
      <c r="H348" s="1" t="s">
        <v>9</v>
      </c>
      <c r="I348" s="3">
        <f t="shared" si="5"/>
        <v>25.200000000000003</v>
      </c>
    </row>
    <row r="349" spans="1:9" ht="15.75" customHeight="1" x14ac:dyDescent="0.25">
      <c r="A349" s="9">
        <v>529837</v>
      </c>
      <c r="B349" s="2">
        <v>22599</v>
      </c>
      <c r="C349" s="22" t="s">
        <v>430</v>
      </c>
      <c r="D349" s="6">
        <v>6</v>
      </c>
      <c r="E349" s="27" t="s">
        <v>431</v>
      </c>
      <c r="F349" s="11">
        <v>0.85</v>
      </c>
      <c r="G349" s="9">
        <v>16784</v>
      </c>
      <c r="H349" s="1" t="s">
        <v>9</v>
      </c>
      <c r="I349" s="3">
        <f t="shared" si="5"/>
        <v>5.0999999999999996</v>
      </c>
    </row>
    <row r="350" spans="1:9" ht="15.75" customHeight="1" x14ac:dyDescent="0.25">
      <c r="A350" s="9">
        <v>532679</v>
      </c>
      <c r="B350" s="2">
        <v>84754</v>
      </c>
      <c r="C350" s="22" t="s">
        <v>432</v>
      </c>
      <c r="D350" s="6">
        <v>2</v>
      </c>
      <c r="E350" s="26">
        <v>40496.511805555558</v>
      </c>
      <c r="F350" s="11">
        <v>1.25</v>
      </c>
      <c r="G350" s="9">
        <v>16960</v>
      </c>
      <c r="H350" s="1" t="s">
        <v>9</v>
      </c>
      <c r="I350" s="3">
        <f t="shared" si="5"/>
        <v>2.5</v>
      </c>
    </row>
    <row r="351" spans="1:9" ht="15.75" customHeight="1" x14ac:dyDescent="0.25">
      <c r="A351" s="9">
        <v>528989</v>
      </c>
      <c r="B351" s="2">
        <v>22773</v>
      </c>
      <c r="C351" s="22" t="s">
        <v>433</v>
      </c>
      <c r="D351" s="6">
        <v>12</v>
      </c>
      <c r="E351" s="26">
        <v>40477.470138888893</v>
      </c>
      <c r="F351" s="11">
        <v>1.25</v>
      </c>
      <c r="G351" s="9">
        <v>14897</v>
      </c>
      <c r="H351" s="1" t="s">
        <v>9</v>
      </c>
      <c r="I351" s="3">
        <f t="shared" si="5"/>
        <v>15</v>
      </c>
    </row>
    <row r="352" spans="1:9" ht="15.75" customHeight="1" x14ac:dyDescent="0.25">
      <c r="A352" s="9">
        <v>498303</v>
      </c>
      <c r="B352" s="2">
        <v>21931</v>
      </c>
      <c r="C352" s="22" t="s">
        <v>434</v>
      </c>
      <c r="D352" s="6">
        <v>10</v>
      </c>
      <c r="E352" s="26">
        <v>40227.396527777782</v>
      </c>
      <c r="F352" s="11">
        <v>1.95</v>
      </c>
      <c r="G352" s="9">
        <v>15640</v>
      </c>
      <c r="H352" s="1" t="s">
        <v>9</v>
      </c>
      <c r="I352" s="3">
        <f t="shared" si="5"/>
        <v>19.5</v>
      </c>
    </row>
    <row r="353" spans="1:9" ht="15.75" customHeight="1" x14ac:dyDescent="0.25">
      <c r="A353" s="9">
        <v>522331</v>
      </c>
      <c r="B353" s="2">
        <v>21519</v>
      </c>
      <c r="C353" s="22" t="s">
        <v>435</v>
      </c>
      <c r="D353" s="6">
        <v>12</v>
      </c>
      <c r="E353" s="26">
        <v>40435.378472222219</v>
      </c>
      <c r="F353" s="11">
        <v>0.42</v>
      </c>
      <c r="G353" s="9">
        <v>15639</v>
      </c>
      <c r="H353" s="1" t="s">
        <v>9</v>
      </c>
      <c r="I353" s="3">
        <f t="shared" si="5"/>
        <v>5.04</v>
      </c>
    </row>
    <row r="354" spans="1:9" ht="15.75" customHeight="1" x14ac:dyDescent="0.25">
      <c r="A354" s="9">
        <v>517712</v>
      </c>
      <c r="B354" s="2" t="s">
        <v>436</v>
      </c>
      <c r="C354" s="22" t="s">
        <v>437</v>
      </c>
      <c r="D354" s="6">
        <v>6</v>
      </c>
      <c r="E354" s="26">
        <v>40391.470138888893</v>
      </c>
      <c r="F354" s="11">
        <v>4.95</v>
      </c>
      <c r="G354" s="9">
        <v>13564</v>
      </c>
      <c r="H354" s="1" t="s">
        <v>9</v>
      </c>
      <c r="I354" s="3">
        <f t="shared" si="5"/>
        <v>29.700000000000003</v>
      </c>
    </row>
    <row r="355" spans="1:9" ht="15.75" customHeight="1" x14ac:dyDescent="0.25">
      <c r="A355" s="9">
        <v>513335</v>
      </c>
      <c r="B355" s="2" t="s">
        <v>438</v>
      </c>
      <c r="C355" s="22" t="s">
        <v>439</v>
      </c>
      <c r="D355" s="6">
        <v>2</v>
      </c>
      <c r="E355" s="26">
        <v>40353.40902777778</v>
      </c>
      <c r="F355" s="11">
        <v>7.49</v>
      </c>
      <c r="G355" s="9">
        <v>17686</v>
      </c>
      <c r="H355" s="1" t="s">
        <v>9</v>
      </c>
      <c r="I355" s="3">
        <f t="shared" si="5"/>
        <v>14.98</v>
      </c>
    </row>
    <row r="356" spans="1:9" ht="15.75" customHeight="1" x14ac:dyDescent="0.25">
      <c r="A356" s="9">
        <v>515910</v>
      </c>
      <c r="B356" s="2">
        <v>22703</v>
      </c>
      <c r="C356" s="22" t="s">
        <v>236</v>
      </c>
      <c r="D356" s="6">
        <v>6</v>
      </c>
      <c r="E356" s="26">
        <v>40374.553472222222</v>
      </c>
      <c r="F356" s="11">
        <v>1.85</v>
      </c>
      <c r="G356" s="9">
        <v>14298</v>
      </c>
      <c r="H356" s="1" t="s">
        <v>9</v>
      </c>
      <c r="I356" s="3">
        <f t="shared" si="5"/>
        <v>11.100000000000001</v>
      </c>
    </row>
    <row r="357" spans="1:9" ht="15.75" customHeight="1" x14ac:dyDescent="0.25">
      <c r="A357" s="9">
        <v>529994</v>
      </c>
      <c r="B357" s="2" t="s">
        <v>440</v>
      </c>
      <c r="C357" s="22" t="s">
        <v>441</v>
      </c>
      <c r="D357" s="6">
        <v>24</v>
      </c>
      <c r="E357" s="26">
        <v>40482.68472222222</v>
      </c>
      <c r="F357" s="11">
        <v>1.25</v>
      </c>
      <c r="G357" s="9">
        <v>16984</v>
      </c>
      <c r="H357" s="1" t="s">
        <v>9</v>
      </c>
      <c r="I357" s="3">
        <f t="shared" si="5"/>
        <v>30</v>
      </c>
    </row>
    <row r="358" spans="1:9" ht="15.75" customHeight="1" x14ac:dyDescent="0.25">
      <c r="A358" s="9">
        <v>492445</v>
      </c>
      <c r="B358" s="2" t="s">
        <v>153</v>
      </c>
      <c r="C358" s="22" t="s">
        <v>154</v>
      </c>
      <c r="D358" s="6">
        <v>32</v>
      </c>
      <c r="E358" s="26">
        <v>40164.463194444441</v>
      </c>
      <c r="F358" s="11">
        <v>2.5499999999999998</v>
      </c>
      <c r="G358" s="9">
        <v>17230</v>
      </c>
      <c r="H358" s="1" t="s">
        <v>9</v>
      </c>
      <c r="I358" s="3">
        <f t="shared" si="5"/>
        <v>81.599999999999994</v>
      </c>
    </row>
    <row r="359" spans="1:9" ht="15.75" customHeight="1" x14ac:dyDescent="0.25">
      <c r="A359" s="9">
        <v>513568</v>
      </c>
      <c r="B359" s="2">
        <v>21928</v>
      </c>
      <c r="C359" s="22" t="s">
        <v>442</v>
      </c>
      <c r="D359" s="6">
        <v>20</v>
      </c>
      <c r="E359" s="26">
        <v>40354.599305555559</v>
      </c>
      <c r="F359" s="11">
        <v>1.95</v>
      </c>
      <c r="G359" s="9">
        <v>12921</v>
      </c>
      <c r="H359" s="1" t="s">
        <v>9</v>
      </c>
      <c r="I359" s="3">
        <f t="shared" si="5"/>
        <v>39</v>
      </c>
    </row>
    <row r="360" spans="1:9" ht="15.75" customHeight="1" x14ac:dyDescent="0.25">
      <c r="A360" s="9">
        <v>534238</v>
      </c>
      <c r="B360" s="2">
        <v>22154</v>
      </c>
      <c r="C360" s="22" t="s">
        <v>443</v>
      </c>
      <c r="D360" s="6">
        <v>48</v>
      </c>
      <c r="E360" s="26">
        <v>40504.445138888892</v>
      </c>
      <c r="F360" s="11">
        <v>0.42</v>
      </c>
      <c r="G360" s="9">
        <v>17730</v>
      </c>
      <c r="H360" s="1" t="s">
        <v>9</v>
      </c>
      <c r="I360" s="3">
        <f t="shared" si="5"/>
        <v>20.16</v>
      </c>
    </row>
    <row r="361" spans="1:9" ht="15.75" customHeight="1" x14ac:dyDescent="0.25">
      <c r="A361" s="9">
        <v>524268</v>
      </c>
      <c r="B361" s="2">
        <v>21754</v>
      </c>
      <c r="C361" s="22" t="s">
        <v>344</v>
      </c>
      <c r="D361" s="6">
        <v>9</v>
      </c>
      <c r="E361" s="26">
        <v>40449.490972222222</v>
      </c>
      <c r="F361" s="11">
        <v>5.95</v>
      </c>
      <c r="G361" s="9">
        <v>17975</v>
      </c>
      <c r="H361" s="1" t="s">
        <v>9</v>
      </c>
      <c r="I361" s="3">
        <f t="shared" si="5"/>
        <v>53.550000000000004</v>
      </c>
    </row>
    <row r="362" spans="1:9" ht="15.75" customHeight="1" x14ac:dyDescent="0.25">
      <c r="A362" s="9">
        <v>533838</v>
      </c>
      <c r="B362" s="2">
        <v>22739</v>
      </c>
      <c r="C362" s="22" t="s">
        <v>444</v>
      </c>
      <c r="D362" s="6">
        <v>10</v>
      </c>
      <c r="E362" s="26">
        <v>40501.456250000003</v>
      </c>
      <c r="F362" s="11">
        <v>1.65</v>
      </c>
      <c r="G362" s="9">
        <v>13662</v>
      </c>
      <c r="H362" s="1" t="s">
        <v>9</v>
      </c>
      <c r="I362" s="3">
        <f t="shared" si="5"/>
        <v>16.5</v>
      </c>
    </row>
    <row r="363" spans="1:9" ht="15.75" customHeight="1" x14ac:dyDescent="0.25">
      <c r="A363" s="9">
        <v>515420</v>
      </c>
      <c r="B363" s="2" t="s">
        <v>445</v>
      </c>
      <c r="C363" s="22" t="s">
        <v>446</v>
      </c>
      <c r="D363" s="6">
        <v>3</v>
      </c>
      <c r="E363" s="26">
        <v>40371.552083333343</v>
      </c>
      <c r="F363" s="11">
        <v>0.65</v>
      </c>
      <c r="G363" s="9">
        <v>17365</v>
      </c>
      <c r="H363" s="1" t="s">
        <v>9</v>
      </c>
      <c r="I363" s="3">
        <f t="shared" si="5"/>
        <v>1.9500000000000002</v>
      </c>
    </row>
    <row r="364" spans="1:9" ht="15.75" customHeight="1" x14ac:dyDescent="0.25">
      <c r="A364" s="9">
        <v>531010</v>
      </c>
      <c r="B364" s="2">
        <v>21282</v>
      </c>
      <c r="C364" s="22" t="s">
        <v>447</v>
      </c>
      <c r="D364" s="6">
        <v>24</v>
      </c>
      <c r="E364" s="26">
        <v>40487.487500000003</v>
      </c>
      <c r="F364" s="11">
        <v>3.75</v>
      </c>
      <c r="G364" s="9">
        <v>12406</v>
      </c>
      <c r="H364" s="1" t="s">
        <v>114</v>
      </c>
      <c r="I364" s="3">
        <f t="shared" si="5"/>
        <v>90</v>
      </c>
    </row>
    <row r="365" spans="1:9" ht="15.75" customHeight="1" x14ac:dyDescent="0.25">
      <c r="A365" s="9">
        <v>535349</v>
      </c>
      <c r="B365" s="2">
        <v>22030</v>
      </c>
      <c r="C365" s="22" t="s">
        <v>448</v>
      </c>
      <c r="D365" s="6">
        <v>12</v>
      </c>
      <c r="E365" s="26">
        <v>40507.702777777777</v>
      </c>
      <c r="F365" s="11">
        <v>0.42</v>
      </c>
      <c r="G365" s="9">
        <v>18245</v>
      </c>
      <c r="H365" s="1" t="s">
        <v>9</v>
      </c>
      <c r="I365" s="3">
        <f t="shared" si="5"/>
        <v>5.04</v>
      </c>
    </row>
    <row r="366" spans="1:9" ht="15.75" customHeight="1" x14ac:dyDescent="0.25">
      <c r="A366" s="9">
        <v>521205</v>
      </c>
      <c r="B366" s="2">
        <v>21988</v>
      </c>
      <c r="C366" s="22" t="s">
        <v>449</v>
      </c>
      <c r="D366" s="6">
        <v>1</v>
      </c>
      <c r="E366" s="26">
        <v>40423.765277777777</v>
      </c>
      <c r="F366" s="11">
        <v>0.85</v>
      </c>
      <c r="G366" s="9">
        <v>17324</v>
      </c>
      <c r="H366" s="1" t="s">
        <v>9</v>
      </c>
      <c r="I366" s="3">
        <f t="shared" si="5"/>
        <v>0.85</v>
      </c>
    </row>
    <row r="367" spans="1:9" ht="15.75" customHeight="1" x14ac:dyDescent="0.25">
      <c r="A367" s="9">
        <v>516950</v>
      </c>
      <c r="B367" s="2">
        <v>22149</v>
      </c>
      <c r="C367" s="22" t="s">
        <v>450</v>
      </c>
      <c r="D367" s="6">
        <v>2</v>
      </c>
      <c r="E367" s="26">
        <v>40384.651388888888</v>
      </c>
      <c r="F367" s="11">
        <v>2.1</v>
      </c>
      <c r="G367" s="9">
        <v>13276</v>
      </c>
      <c r="H367" s="1" t="s">
        <v>9</v>
      </c>
      <c r="I367" s="3">
        <f t="shared" si="5"/>
        <v>4.2</v>
      </c>
    </row>
    <row r="368" spans="1:9" ht="15.75" customHeight="1" x14ac:dyDescent="0.25">
      <c r="A368" s="9">
        <v>528648</v>
      </c>
      <c r="B368" s="2">
        <v>22417</v>
      </c>
      <c r="C368" s="22" t="s">
        <v>451</v>
      </c>
      <c r="D368" s="6">
        <v>1</v>
      </c>
      <c r="E368" s="26">
        <v>40475.527083333327</v>
      </c>
      <c r="F368" s="11">
        <v>0.55000000000000004</v>
      </c>
      <c r="G368" s="9">
        <v>16445</v>
      </c>
      <c r="H368" s="1" t="s">
        <v>9</v>
      </c>
      <c r="I368" s="3">
        <f t="shared" si="5"/>
        <v>0.55000000000000004</v>
      </c>
    </row>
    <row r="369" spans="1:9" ht="15.75" customHeight="1" x14ac:dyDescent="0.25">
      <c r="A369" s="9">
        <v>507179</v>
      </c>
      <c r="B369" s="2">
        <v>22328</v>
      </c>
      <c r="C369" s="22" t="s">
        <v>452</v>
      </c>
      <c r="D369" s="6">
        <v>96</v>
      </c>
      <c r="E369" s="26">
        <v>40304.64166666667</v>
      </c>
      <c r="F369" s="11">
        <v>2.5499999999999998</v>
      </c>
      <c r="G369" s="9">
        <v>14646</v>
      </c>
      <c r="H369" s="1" t="s">
        <v>116</v>
      </c>
      <c r="I369" s="3">
        <f t="shared" si="5"/>
        <v>244.79999999999998</v>
      </c>
    </row>
    <row r="370" spans="1:9" ht="15.75" customHeight="1" x14ac:dyDescent="0.25">
      <c r="A370" s="9">
        <v>520716</v>
      </c>
      <c r="B370" s="2">
        <v>21737</v>
      </c>
      <c r="C370" s="22" t="s">
        <v>453</v>
      </c>
      <c r="D370" s="6">
        <v>1</v>
      </c>
      <c r="E370" s="26">
        <v>40419.585416666669</v>
      </c>
      <c r="F370" s="11">
        <v>19.95</v>
      </c>
      <c r="G370" s="9">
        <v>15722</v>
      </c>
      <c r="H370" s="1" t="s">
        <v>9</v>
      </c>
      <c r="I370" s="3">
        <f t="shared" si="5"/>
        <v>19.95</v>
      </c>
    </row>
    <row r="371" spans="1:9" ht="15.75" customHeight="1" x14ac:dyDescent="0.25">
      <c r="A371" s="9">
        <v>505845</v>
      </c>
      <c r="B371" s="2">
        <v>22072</v>
      </c>
      <c r="C371" s="22" t="s">
        <v>454</v>
      </c>
      <c r="D371" s="6">
        <v>4</v>
      </c>
      <c r="E371" s="26">
        <v>40294.501388888893</v>
      </c>
      <c r="F371" s="11">
        <v>3.75</v>
      </c>
      <c r="G371" s="9">
        <v>16756</v>
      </c>
      <c r="H371" s="1" t="s">
        <v>9</v>
      </c>
      <c r="I371" s="3">
        <f t="shared" si="5"/>
        <v>15</v>
      </c>
    </row>
    <row r="372" spans="1:9" ht="15.75" customHeight="1" x14ac:dyDescent="0.25">
      <c r="A372" s="9">
        <v>511522</v>
      </c>
      <c r="B372" s="2">
        <v>21155</v>
      </c>
      <c r="C372" s="22" t="s">
        <v>455</v>
      </c>
      <c r="D372" s="6">
        <v>4</v>
      </c>
      <c r="E372" s="26">
        <v>40337.699305555558</v>
      </c>
      <c r="F372" s="11">
        <v>2.1</v>
      </c>
      <c r="G372" s="9">
        <v>16072</v>
      </c>
      <c r="H372" s="1" t="s">
        <v>9</v>
      </c>
      <c r="I372" s="3">
        <f t="shared" si="5"/>
        <v>8.4</v>
      </c>
    </row>
    <row r="373" spans="1:9" ht="15.75" customHeight="1" x14ac:dyDescent="0.25">
      <c r="A373" s="9">
        <v>532016</v>
      </c>
      <c r="B373" s="2">
        <v>22112</v>
      </c>
      <c r="C373" s="22" t="s">
        <v>199</v>
      </c>
      <c r="D373" s="6">
        <v>1</v>
      </c>
      <c r="E373" s="26">
        <v>40492.537499999999</v>
      </c>
      <c r="F373" s="11">
        <v>4.95</v>
      </c>
      <c r="G373" s="9" t="s">
        <v>456</v>
      </c>
      <c r="H373" s="1" t="s">
        <v>9</v>
      </c>
      <c r="I373" s="3">
        <f t="shared" si="5"/>
        <v>4.95</v>
      </c>
    </row>
    <row r="374" spans="1:9" ht="15.75" customHeight="1" x14ac:dyDescent="0.25">
      <c r="A374" s="9">
        <v>515906</v>
      </c>
      <c r="B374" s="2">
        <v>21016</v>
      </c>
      <c r="C374" s="22" t="s">
        <v>457</v>
      </c>
      <c r="D374" s="6">
        <v>3</v>
      </c>
      <c r="E374" s="26">
        <v>40374.540972222218</v>
      </c>
      <c r="F374" s="11">
        <v>0.85</v>
      </c>
      <c r="G374" s="9">
        <v>12748</v>
      </c>
      <c r="H374" s="1" t="s">
        <v>9</v>
      </c>
      <c r="I374" s="3">
        <f t="shared" si="5"/>
        <v>2.5499999999999998</v>
      </c>
    </row>
    <row r="375" spans="1:9" ht="15.75" customHeight="1" x14ac:dyDescent="0.25">
      <c r="A375" s="9">
        <v>513543</v>
      </c>
      <c r="B375" s="2">
        <v>21929</v>
      </c>
      <c r="C375" s="22" t="s">
        <v>458</v>
      </c>
      <c r="D375" s="6">
        <v>10</v>
      </c>
      <c r="E375" s="26">
        <v>40354.503472222219</v>
      </c>
      <c r="F375" s="11">
        <v>1.95</v>
      </c>
      <c r="G375" s="9">
        <v>14648</v>
      </c>
      <c r="H375" s="1" t="s">
        <v>9</v>
      </c>
      <c r="I375" s="3">
        <f t="shared" si="5"/>
        <v>19.5</v>
      </c>
    </row>
    <row r="376" spans="1:9" ht="15.75" customHeight="1" x14ac:dyDescent="0.25">
      <c r="A376" s="9">
        <v>502280</v>
      </c>
      <c r="B376" s="2" t="s">
        <v>459</v>
      </c>
      <c r="C376" s="22" t="s">
        <v>460</v>
      </c>
      <c r="D376" s="6">
        <v>12</v>
      </c>
      <c r="E376" s="26">
        <v>40260.697916666657</v>
      </c>
      <c r="F376" s="11">
        <v>1.55</v>
      </c>
      <c r="G376" s="9">
        <v>14156</v>
      </c>
      <c r="H376" s="1" t="s">
        <v>978</v>
      </c>
      <c r="I376" s="3">
        <f t="shared" si="5"/>
        <v>18.600000000000001</v>
      </c>
    </row>
    <row r="377" spans="1:9" ht="15.75" customHeight="1" x14ac:dyDescent="0.25">
      <c r="A377" s="9">
        <v>520084</v>
      </c>
      <c r="B377" s="2">
        <v>22644</v>
      </c>
      <c r="C377" s="22" t="s">
        <v>461</v>
      </c>
      <c r="D377" s="6">
        <v>12</v>
      </c>
      <c r="E377" s="26">
        <v>40414.447916666657</v>
      </c>
      <c r="F377" s="11">
        <v>1.45</v>
      </c>
      <c r="G377" s="9">
        <v>12915</v>
      </c>
      <c r="H377" s="1" t="s">
        <v>9</v>
      </c>
      <c r="I377" s="3">
        <f t="shared" si="5"/>
        <v>17.399999999999999</v>
      </c>
    </row>
    <row r="378" spans="1:9" ht="15.75" customHeight="1" x14ac:dyDescent="0.25">
      <c r="A378" s="9">
        <v>494644</v>
      </c>
      <c r="B378" s="2">
        <v>21381</v>
      </c>
      <c r="C378" s="22" t="s">
        <v>462</v>
      </c>
      <c r="D378" s="6">
        <v>2</v>
      </c>
      <c r="E378" s="26">
        <v>40195.508333333331</v>
      </c>
      <c r="F378" s="11">
        <v>1.69</v>
      </c>
      <c r="G378" s="9">
        <v>16595</v>
      </c>
      <c r="H378" s="1" t="s">
        <v>9</v>
      </c>
      <c r="I378" s="3">
        <f t="shared" si="5"/>
        <v>3.38</v>
      </c>
    </row>
    <row r="379" spans="1:9" ht="15.75" customHeight="1" x14ac:dyDescent="0.25">
      <c r="A379" s="9">
        <v>498238</v>
      </c>
      <c r="B379" s="2">
        <v>21232</v>
      </c>
      <c r="C379" s="22" t="s">
        <v>463</v>
      </c>
      <c r="D379" s="6">
        <v>4</v>
      </c>
      <c r="E379" s="26">
        <v>40226.607638888891</v>
      </c>
      <c r="F379" s="11" t="s">
        <v>42</v>
      </c>
      <c r="G379" s="9">
        <v>15768</v>
      </c>
      <c r="H379" s="1" t="s">
        <v>9</v>
      </c>
      <c r="I379" s="3">
        <f t="shared" si="5"/>
        <v>5</v>
      </c>
    </row>
    <row r="380" spans="1:9" ht="15.75" customHeight="1" x14ac:dyDescent="0.25">
      <c r="A380" s="9">
        <v>501718</v>
      </c>
      <c r="B380" s="2">
        <v>22224</v>
      </c>
      <c r="C380" s="22" t="s">
        <v>464</v>
      </c>
      <c r="D380" s="6">
        <v>6</v>
      </c>
      <c r="E380" s="26">
        <v>40256.444444444453</v>
      </c>
      <c r="F380" s="11">
        <v>2.95</v>
      </c>
      <c r="G380" s="9">
        <v>15325</v>
      </c>
      <c r="H380" s="1" t="s">
        <v>9</v>
      </c>
      <c r="I380" s="3">
        <f t="shared" si="5"/>
        <v>17.700000000000003</v>
      </c>
    </row>
    <row r="381" spans="1:9" ht="15.75" customHeight="1" x14ac:dyDescent="0.25">
      <c r="A381" s="9">
        <v>502758</v>
      </c>
      <c r="B381" s="2">
        <v>21928</v>
      </c>
      <c r="C381" s="22" t="s">
        <v>442</v>
      </c>
      <c r="D381" s="6">
        <v>100</v>
      </c>
      <c r="E381" s="26">
        <v>40263.572916666657</v>
      </c>
      <c r="F381" s="11">
        <v>1.65</v>
      </c>
      <c r="G381" s="9">
        <v>14646</v>
      </c>
      <c r="H381" s="1" t="s">
        <v>116</v>
      </c>
      <c r="I381" s="3">
        <f t="shared" si="5"/>
        <v>165</v>
      </c>
    </row>
    <row r="382" spans="1:9" ht="15.75" customHeight="1" x14ac:dyDescent="0.25">
      <c r="A382" s="9">
        <v>534822</v>
      </c>
      <c r="B382" s="2">
        <v>21591</v>
      </c>
      <c r="C382" s="22" t="s">
        <v>465</v>
      </c>
      <c r="D382" s="6">
        <v>2</v>
      </c>
      <c r="E382" s="26">
        <v>40506.537499999999</v>
      </c>
      <c r="F382" s="11">
        <v>1.25</v>
      </c>
      <c r="G382" s="9">
        <v>12970</v>
      </c>
      <c r="H382" s="1" t="s">
        <v>9</v>
      </c>
      <c r="I382" s="3">
        <f t="shared" si="5"/>
        <v>2.5</v>
      </c>
    </row>
    <row r="383" spans="1:9" ht="15.75" customHeight="1" x14ac:dyDescent="0.25">
      <c r="A383" s="9">
        <v>537773</v>
      </c>
      <c r="B383" s="2">
        <v>20764</v>
      </c>
      <c r="C383" s="22" t="s">
        <v>466</v>
      </c>
      <c r="D383" s="6">
        <v>1</v>
      </c>
      <c r="E383" s="26">
        <v>40520.525000000001</v>
      </c>
      <c r="F383" s="11">
        <v>3.75</v>
      </c>
      <c r="G383" s="9">
        <v>16016</v>
      </c>
      <c r="H383" s="1" t="s">
        <v>9</v>
      </c>
      <c r="I383" s="3">
        <f t="shared" si="5"/>
        <v>3.75</v>
      </c>
    </row>
    <row r="384" spans="1:9" ht="15.75" customHeight="1" x14ac:dyDescent="0.25">
      <c r="A384" s="9">
        <v>491113</v>
      </c>
      <c r="B384" s="2">
        <v>21068</v>
      </c>
      <c r="C384" s="22" t="s">
        <v>467</v>
      </c>
      <c r="D384" s="6">
        <v>2</v>
      </c>
      <c r="E384" s="26">
        <v>40156.616666666669</v>
      </c>
      <c r="F384" s="11">
        <v>1.25</v>
      </c>
      <c r="G384" s="9">
        <v>14505</v>
      </c>
      <c r="H384" s="1" t="s">
        <v>9</v>
      </c>
      <c r="I384" s="3">
        <f t="shared" si="5"/>
        <v>2.5</v>
      </c>
    </row>
    <row r="385" spans="1:9" ht="15.75" customHeight="1" x14ac:dyDescent="0.25">
      <c r="A385" s="9">
        <v>504139</v>
      </c>
      <c r="B385" s="2">
        <v>21976</v>
      </c>
      <c r="C385" s="22" t="s">
        <v>279</v>
      </c>
      <c r="D385" s="6">
        <v>3</v>
      </c>
      <c r="E385" s="26">
        <v>40279.525694444441</v>
      </c>
      <c r="F385" s="11">
        <v>0.55000000000000004</v>
      </c>
      <c r="G385" s="9">
        <v>17769</v>
      </c>
      <c r="H385" s="1" t="s">
        <v>9</v>
      </c>
      <c r="I385" s="3">
        <f t="shared" si="5"/>
        <v>1.6500000000000001</v>
      </c>
    </row>
    <row r="386" spans="1:9" ht="15.75" customHeight="1" x14ac:dyDescent="0.25">
      <c r="A386" s="9">
        <v>494473</v>
      </c>
      <c r="B386" s="2">
        <v>21697</v>
      </c>
      <c r="C386" s="22" t="s">
        <v>468</v>
      </c>
      <c r="D386" s="6">
        <v>12</v>
      </c>
      <c r="E386" s="26">
        <v>40192.620138888888</v>
      </c>
      <c r="F386" s="11">
        <v>1.69</v>
      </c>
      <c r="G386" s="9">
        <v>17508</v>
      </c>
      <c r="H386" s="1" t="s">
        <v>339</v>
      </c>
      <c r="I386" s="3">
        <f t="shared" ref="I386:I449" si="6">(D386 *F386)</f>
        <v>20.28</v>
      </c>
    </row>
    <row r="387" spans="1:9" ht="15.75" customHeight="1" x14ac:dyDescent="0.25">
      <c r="A387" s="9">
        <v>535465</v>
      </c>
      <c r="B387" s="2">
        <v>22866</v>
      </c>
      <c r="C387" s="22" t="s">
        <v>469</v>
      </c>
      <c r="D387" s="6">
        <v>1</v>
      </c>
      <c r="E387" s="26">
        <v>40508.556944444441</v>
      </c>
      <c r="F387" s="11">
        <v>2.1</v>
      </c>
      <c r="G387" s="9">
        <v>16254</v>
      </c>
      <c r="H387" s="1" t="s">
        <v>9</v>
      </c>
      <c r="I387" s="3">
        <f t="shared" si="6"/>
        <v>2.1</v>
      </c>
    </row>
    <row r="388" spans="1:9" ht="15.75" customHeight="1" x14ac:dyDescent="0.25">
      <c r="A388" s="9">
        <v>506572</v>
      </c>
      <c r="B388" s="2" t="s">
        <v>353</v>
      </c>
      <c r="C388" s="22" t="s">
        <v>354</v>
      </c>
      <c r="D388" s="6">
        <v>4</v>
      </c>
      <c r="E388" s="26">
        <v>40298.548611111109</v>
      </c>
      <c r="F388" s="11">
        <v>0.85</v>
      </c>
      <c r="G388" s="9">
        <v>16374</v>
      </c>
      <c r="H388" s="1" t="s">
        <v>9</v>
      </c>
      <c r="I388" s="3">
        <f t="shared" si="6"/>
        <v>3.4</v>
      </c>
    </row>
    <row r="389" spans="1:9" ht="15.75" customHeight="1" x14ac:dyDescent="0.25">
      <c r="A389" s="9">
        <v>535748</v>
      </c>
      <c r="B389" s="2">
        <v>90096</v>
      </c>
      <c r="C389" s="22" t="s">
        <v>470</v>
      </c>
      <c r="D389" s="6">
        <v>1</v>
      </c>
      <c r="E389" s="26">
        <v>40510.556250000001</v>
      </c>
      <c r="F389" s="11">
        <v>2.5499999999999998</v>
      </c>
      <c r="G389" s="9">
        <v>14508</v>
      </c>
      <c r="H389" s="1" t="s">
        <v>9</v>
      </c>
      <c r="I389" s="3">
        <f t="shared" si="6"/>
        <v>2.5499999999999998</v>
      </c>
    </row>
    <row r="390" spans="1:9" ht="15.75" customHeight="1" x14ac:dyDescent="0.25">
      <c r="A390" s="9">
        <v>497808</v>
      </c>
      <c r="B390" s="2">
        <v>84212</v>
      </c>
      <c r="C390" s="22" t="s">
        <v>471</v>
      </c>
      <c r="D390" s="6">
        <v>60</v>
      </c>
      <c r="E390" s="26">
        <v>40221.604861111111</v>
      </c>
      <c r="F390" s="11">
        <v>0.65</v>
      </c>
      <c r="G390" s="9">
        <v>17226</v>
      </c>
      <c r="H390" s="1" t="s">
        <v>9</v>
      </c>
      <c r="I390" s="3">
        <f t="shared" si="6"/>
        <v>39</v>
      </c>
    </row>
    <row r="391" spans="1:9" ht="15.75" customHeight="1" x14ac:dyDescent="0.25">
      <c r="A391" s="9">
        <v>514344</v>
      </c>
      <c r="B391" s="2">
        <v>79000</v>
      </c>
      <c r="C391" s="22" t="s">
        <v>472</v>
      </c>
      <c r="D391" s="6">
        <v>24</v>
      </c>
      <c r="E391" s="26">
        <v>40360.630555555559</v>
      </c>
      <c r="F391" s="11">
        <v>0.85</v>
      </c>
      <c r="G391" s="9">
        <v>14540</v>
      </c>
      <c r="H391" s="1" t="s">
        <v>9</v>
      </c>
      <c r="I391" s="3">
        <f t="shared" si="6"/>
        <v>20.399999999999999</v>
      </c>
    </row>
    <row r="392" spans="1:9" ht="15.75" customHeight="1" x14ac:dyDescent="0.25">
      <c r="A392" s="9">
        <v>513335</v>
      </c>
      <c r="B392" s="2">
        <v>22061</v>
      </c>
      <c r="C392" s="22" t="s">
        <v>473</v>
      </c>
      <c r="D392" s="6">
        <v>4</v>
      </c>
      <c r="E392" s="26">
        <v>40353.40902777778</v>
      </c>
      <c r="F392" s="11">
        <v>9.9499999999999993</v>
      </c>
      <c r="G392" s="9">
        <v>17686</v>
      </c>
      <c r="H392" s="1" t="s">
        <v>9</v>
      </c>
      <c r="I392" s="3">
        <f t="shared" si="6"/>
        <v>39.799999999999997</v>
      </c>
    </row>
    <row r="393" spans="1:9" ht="15.75" customHeight="1" x14ac:dyDescent="0.25">
      <c r="A393" s="9">
        <v>534109</v>
      </c>
      <c r="B393" s="2">
        <v>21934</v>
      </c>
      <c r="C393" s="22" t="s">
        <v>474</v>
      </c>
      <c r="D393" s="6">
        <v>10</v>
      </c>
      <c r="E393" s="26">
        <v>40503.506249999999</v>
      </c>
      <c r="F393" s="11">
        <v>1.65</v>
      </c>
      <c r="G393" s="9">
        <v>14293</v>
      </c>
      <c r="H393" s="1" t="s">
        <v>9</v>
      </c>
      <c r="I393" s="3">
        <f t="shared" si="6"/>
        <v>16.5</v>
      </c>
    </row>
    <row r="394" spans="1:9" ht="15.75" customHeight="1" x14ac:dyDescent="0.25">
      <c r="A394" s="9">
        <v>532665</v>
      </c>
      <c r="B394" s="2">
        <v>22632</v>
      </c>
      <c r="C394" s="22" t="s">
        <v>475</v>
      </c>
      <c r="D394" s="6">
        <v>1</v>
      </c>
      <c r="E394" s="26">
        <v>40496.484027777777</v>
      </c>
      <c r="F394" s="11">
        <v>2.1</v>
      </c>
      <c r="G394" s="9">
        <v>14052</v>
      </c>
      <c r="H394" s="1" t="s">
        <v>9</v>
      </c>
      <c r="I394" s="3">
        <f t="shared" si="6"/>
        <v>2.1</v>
      </c>
    </row>
    <row r="395" spans="1:9" ht="15.75" customHeight="1" x14ac:dyDescent="0.25">
      <c r="A395" s="9">
        <v>533736</v>
      </c>
      <c r="B395" s="2">
        <v>21892</v>
      </c>
      <c r="C395" s="22" t="s">
        <v>86</v>
      </c>
      <c r="D395" s="6">
        <v>1</v>
      </c>
      <c r="E395" s="26">
        <v>40500.57708333333</v>
      </c>
      <c r="F395" s="11">
        <v>1.25</v>
      </c>
      <c r="G395" s="9">
        <v>16089</v>
      </c>
      <c r="H395" s="1" t="s">
        <v>9</v>
      </c>
      <c r="I395" s="3">
        <f t="shared" si="6"/>
        <v>1.25</v>
      </c>
    </row>
    <row r="396" spans="1:9" ht="15.75" customHeight="1" x14ac:dyDescent="0.25">
      <c r="A396" s="9">
        <v>521791</v>
      </c>
      <c r="B396" s="2">
        <v>22465</v>
      </c>
      <c r="C396" s="22" t="s">
        <v>476</v>
      </c>
      <c r="D396" s="6">
        <v>6</v>
      </c>
      <c r="E396" s="26">
        <v>40429.5625</v>
      </c>
      <c r="F396" s="11">
        <v>1.65</v>
      </c>
      <c r="G396" s="9">
        <v>14667</v>
      </c>
      <c r="H396" s="1" t="s">
        <v>9</v>
      </c>
      <c r="I396" s="3">
        <f t="shared" si="6"/>
        <v>9.8999999999999986</v>
      </c>
    </row>
    <row r="397" spans="1:9" ht="15.75" customHeight="1" x14ac:dyDescent="0.25">
      <c r="A397" s="9">
        <v>511310</v>
      </c>
      <c r="B397" s="2">
        <v>22431</v>
      </c>
      <c r="C397" s="22" t="s">
        <v>477</v>
      </c>
      <c r="D397" s="6">
        <v>1</v>
      </c>
      <c r="E397" s="26">
        <v>40336.672222222223</v>
      </c>
      <c r="F397" s="11">
        <v>1.95</v>
      </c>
      <c r="G397" s="9">
        <v>17784</v>
      </c>
      <c r="H397" s="1" t="s">
        <v>9</v>
      </c>
      <c r="I397" s="3">
        <f t="shared" si="6"/>
        <v>1.95</v>
      </c>
    </row>
    <row r="398" spans="1:9" ht="15.75" customHeight="1" x14ac:dyDescent="0.25">
      <c r="A398" s="9">
        <v>537136</v>
      </c>
      <c r="B398" s="2">
        <v>21351</v>
      </c>
      <c r="C398" s="22" t="s">
        <v>478</v>
      </c>
      <c r="D398" s="6">
        <v>18</v>
      </c>
      <c r="E398" s="26">
        <v>40517.529166666667</v>
      </c>
      <c r="F398" s="11">
        <v>5.95</v>
      </c>
      <c r="G398" s="9">
        <v>12748</v>
      </c>
      <c r="H398" s="1" t="s">
        <v>9</v>
      </c>
      <c r="I398" s="3">
        <f t="shared" si="6"/>
        <v>107.10000000000001</v>
      </c>
    </row>
    <row r="399" spans="1:9" ht="15.75" customHeight="1" x14ac:dyDescent="0.25">
      <c r="A399" s="9">
        <v>534216</v>
      </c>
      <c r="B399" s="2">
        <v>84380</v>
      </c>
      <c r="C399" s="22" t="s">
        <v>126</v>
      </c>
      <c r="D399" s="6">
        <v>1</v>
      </c>
      <c r="E399" s="26">
        <v>40503.672222222223</v>
      </c>
      <c r="F399" s="11">
        <v>1.25</v>
      </c>
      <c r="G399" s="9">
        <v>14606</v>
      </c>
      <c r="H399" s="1" t="s">
        <v>9</v>
      </c>
      <c r="I399" s="3">
        <f t="shared" si="6"/>
        <v>1.25</v>
      </c>
    </row>
    <row r="400" spans="1:9" ht="15.75" customHeight="1" x14ac:dyDescent="0.25">
      <c r="A400" s="9">
        <v>514797</v>
      </c>
      <c r="B400" s="2">
        <v>22127</v>
      </c>
      <c r="C400" s="22" t="s">
        <v>479</v>
      </c>
      <c r="D400" s="6">
        <v>120</v>
      </c>
      <c r="E400" s="26">
        <v>40365.442361111112</v>
      </c>
      <c r="F400" s="11">
        <v>1.06</v>
      </c>
      <c r="G400" s="9">
        <v>16422</v>
      </c>
      <c r="H400" s="1" t="s">
        <v>9</v>
      </c>
      <c r="I400" s="3">
        <f t="shared" si="6"/>
        <v>127.2</v>
      </c>
    </row>
    <row r="401" spans="1:9" ht="15.75" customHeight="1" x14ac:dyDescent="0.25">
      <c r="A401" s="9">
        <v>536782</v>
      </c>
      <c r="B401" s="2">
        <v>22077</v>
      </c>
      <c r="C401" s="22" t="s">
        <v>196</v>
      </c>
      <c r="D401" s="6">
        <v>12</v>
      </c>
      <c r="E401" s="26">
        <v>40514.637499999997</v>
      </c>
      <c r="F401" s="11">
        <v>1.65</v>
      </c>
      <c r="G401" s="9">
        <v>17567</v>
      </c>
      <c r="H401" s="1" t="s">
        <v>9</v>
      </c>
      <c r="I401" s="3">
        <f t="shared" si="6"/>
        <v>19.799999999999997</v>
      </c>
    </row>
    <row r="402" spans="1:9" ht="15.75" customHeight="1" x14ac:dyDescent="0.25">
      <c r="A402" s="9">
        <v>532799</v>
      </c>
      <c r="B402" s="2">
        <v>21707</v>
      </c>
      <c r="C402" s="22" t="s">
        <v>480</v>
      </c>
      <c r="D402" s="6">
        <v>2</v>
      </c>
      <c r="E402" s="26">
        <v>40496.617361111108</v>
      </c>
      <c r="F402" s="11">
        <v>4.95</v>
      </c>
      <c r="G402" s="9">
        <v>14599</v>
      </c>
      <c r="H402" s="1" t="s">
        <v>981</v>
      </c>
      <c r="I402" s="3">
        <f t="shared" si="6"/>
        <v>9.9</v>
      </c>
    </row>
    <row r="403" spans="1:9" ht="15.75" customHeight="1" x14ac:dyDescent="0.25">
      <c r="A403" s="9">
        <v>512725</v>
      </c>
      <c r="B403" s="2">
        <v>22482</v>
      </c>
      <c r="C403" s="22" t="s">
        <v>310</v>
      </c>
      <c r="D403" s="6">
        <v>1</v>
      </c>
      <c r="E403" s="26">
        <v>40346.54791666667</v>
      </c>
      <c r="F403" s="11">
        <v>1.25</v>
      </c>
      <c r="G403" s="9">
        <v>14508</v>
      </c>
      <c r="H403" s="1" t="s">
        <v>9</v>
      </c>
      <c r="I403" s="3">
        <f t="shared" si="6"/>
        <v>1.25</v>
      </c>
    </row>
    <row r="404" spans="1:9" ht="15.75" customHeight="1" x14ac:dyDescent="0.25">
      <c r="A404" s="9">
        <v>527657</v>
      </c>
      <c r="B404" s="2" t="s">
        <v>482</v>
      </c>
      <c r="C404" s="22" t="s">
        <v>483</v>
      </c>
      <c r="D404" s="6">
        <v>4</v>
      </c>
      <c r="E404" s="26">
        <v>40469.591666666667</v>
      </c>
      <c r="F404" s="11">
        <v>3.75</v>
      </c>
      <c r="G404" s="9">
        <v>16141</v>
      </c>
      <c r="H404" s="1" t="s">
        <v>9</v>
      </c>
      <c r="I404" s="3">
        <f t="shared" si="6"/>
        <v>15</v>
      </c>
    </row>
    <row r="405" spans="1:9" ht="15.75" customHeight="1" x14ac:dyDescent="0.25">
      <c r="A405" s="9">
        <v>492358</v>
      </c>
      <c r="B405" s="2" t="s">
        <v>484</v>
      </c>
      <c r="C405" s="22" t="s">
        <v>485</v>
      </c>
      <c r="D405" s="6">
        <v>6</v>
      </c>
      <c r="E405" s="26">
        <v>40163.556944444441</v>
      </c>
      <c r="F405" s="11">
        <v>4.25</v>
      </c>
      <c r="G405" s="9">
        <v>16779</v>
      </c>
      <c r="H405" s="1" t="s">
        <v>9</v>
      </c>
      <c r="I405" s="3">
        <f t="shared" si="6"/>
        <v>25.5</v>
      </c>
    </row>
    <row r="406" spans="1:9" ht="15.75" customHeight="1" x14ac:dyDescent="0.25">
      <c r="A406" s="9">
        <v>501280</v>
      </c>
      <c r="B406" s="2">
        <v>20652</v>
      </c>
      <c r="C406" s="22" t="s">
        <v>486</v>
      </c>
      <c r="D406" s="6">
        <v>1</v>
      </c>
      <c r="E406" s="26">
        <v>40252.592361111107</v>
      </c>
      <c r="F406" s="11">
        <v>1.25</v>
      </c>
      <c r="G406" s="9">
        <v>17841</v>
      </c>
      <c r="H406" s="1" t="s">
        <v>9</v>
      </c>
      <c r="I406" s="3">
        <f t="shared" si="6"/>
        <v>1.25</v>
      </c>
    </row>
    <row r="407" spans="1:9" ht="15.75" customHeight="1" x14ac:dyDescent="0.25">
      <c r="A407" s="9">
        <v>497742</v>
      </c>
      <c r="B407" s="2">
        <v>22063</v>
      </c>
      <c r="C407" s="22" t="s">
        <v>487</v>
      </c>
      <c r="D407" s="6">
        <v>72</v>
      </c>
      <c r="E407" s="26">
        <v>40221.447916666657</v>
      </c>
      <c r="F407" s="11">
        <v>2.5499999999999998</v>
      </c>
      <c r="G407" s="9">
        <v>16029</v>
      </c>
      <c r="H407" s="1" t="s">
        <v>9</v>
      </c>
      <c r="I407" s="3">
        <f t="shared" si="6"/>
        <v>183.6</v>
      </c>
    </row>
    <row r="408" spans="1:9" ht="15.75" customHeight="1" x14ac:dyDescent="0.25">
      <c r="A408" s="9">
        <v>524152</v>
      </c>
      <c r="B408" s="2">
        <v>22589</v>
      </c>
      <c r="C408" s="22" t="s">
        <v>488</v>
      </c>
      <c r="D408" s="6">
        <v>12</v>
      </c>
      <c r="E408" s="26">
        <v>40448.654861111107</v>
      </c>
      <c r="F408" s="11">
        <v>2.5499999999999998</v>
      </c>
      <c r="G408" s="9">
        <v>15270</v>
      </c>
      <c r="H408" s="1" t="s">
        <v>9</v>
      </c>
      <c r="I408" s="3">
        <f t="shared" si="6"/>
        <v>30.599999999999998</v>
      </c>
    </row>
    <row r="409" spans="1:9" ht="15.75" customHeight="1" x14ac:dyDescent="0.25">
      <c r="A409" s="9">
        <v>489514</v>
      </c>
      <c r="B409" s="2">
        <v>21955</v>
      </c>
      <c r="C409" s="22" t="s">
        <v>489</v>
      </c>
      <c r="D409" s="6">
        <v>10</v>
      </c>
      <c r="E409" s="26">
        <v>40148.472916666673</v>
      </c>
      <c r="F409" s="11">
        <v>5.95</v>
      </c>
      <c r="G409" s="9">
        <v>15311</v>
      </c>
      <c r="H409" s="1" t="s">
        <v>9</v>
      </c>
      <c r="I409" s="3">
        <f t="shared" si="6"/>
        <v>59.5</v>
      </c>
    </row>
    <row r="410" spans="1:9" ht="15.75" customHeight="1" x14ac:dyDescent="0.25">
      <c r="A410" s="9">
        <v>524421</v>
      </c>
      <c r="B410" s="2">
        <v>21445</v>
      </c>
      <c r="C410" s="22" t="s">
        <v>490</v>
      </c>
      <c r="D410" s="6">
        <v>12</v>
      </c>
      <c r="E410" s="26">
        <v>40450.43472222222</v>
      </c>
      <c r="F410" s="11">
        <v>1.25</v>
      </c>
      <c r="G410" s="9">
        <v>13804</v>
      </c>
      <c r="H410" s="1" t="s">
        <v>9</v>
      </c>
      <c r="I410" s="3">
        <f t="shared" si="6"/>
        <v>15</v>
      </c>
    </row>
    <row r="411" spans="1:9" ht="15.75" customHeight="1" x14ac:dyDescent="0.25">
      <c r="A411" s="9">
        <v>507889</v>
      </c>
      <c r="B411" s="2">
        <v>21915</v>
      </c>
      <c r="C411" s="22" t="s">
        <v>347</v>
      </c>
      <c r="D411" s="6">
        <v>12</v>
      </c>
      <c r="E411" s="26">
        <v>40309.690972222219</v>
      </c>
      <c r="F411" s="11">
        <v>1.25</v>
      </c>
      <c r="G411" s="9">
        <v>15862</v>
      </c>
      <c r="H411" s="1" t="s">
        <v>9</v>
      </c>
      <c r="I411" s="3">
        <f t="shared" si="6"/>
        <v>15</v>
      </c>
    </row>
    <row r="412" spans="1:9" ht="15.75" customHeight="1" x14ac:dyDescent="0.25">
      <c r="A412" s="9">
        <v>534517</v>
      </c>
      <c r="B412" s="2">
        <v>22350</v>
      </c>
      <c r="C412" s="22" t="s">
        <v>491</v>
      </c>
      <c r="D412" s="6">
        <v>6</v>
      </c>
      <c r="E412" s="26">
        <v>40505.500694444447</v>
      </c>
      <c r="F412" s="11">
        <v>2.5499999999999998</v>
      </c>
      <c r="G412" s="9">
        <v>16229</v>
      </c>
      <c r="H412" s="1" t="s">
        <v>9</v>
      </c>
      <c r="I412" s="3">
        <f t="shared" si="6"/>
        <v>15.299999999999999</v>
      </c>
    </row>
    <row r="413" spans="1:9" ht="15.75" customHeight="1" x14ac:dyDescent="0.25">
      <c r="A413" s="9">
        <v>503348</v>
      </c>
      <c r="B413" s="2">
        <v>21099</v>
      </c>
      <c r="C413" s="22" t="s">
        <v>492</v>
      </c>
      <c r="D413" s="6">
        <v>2</v>
      </c>
      <c r="E413" s="26">
        <v>40268.561805555553</v>
      </c>
      <c r="F413" s="11">
        <v>0.65</v>
      </c>
      <c r="G413" s="9">
        <v>15800</v>
      </c>
      <c r="H413" s="1" t="s">
        <v>9</v>
      </c>
      <c r="I413" s="3">
        <f t="shared" si="6"/>
        <v>1.3</v>
      </c>
    </row>
    <row r="414" spans="1:9" ht="15.75" customHeight="1" x14ac:dyDescent="0.25">
      <c r="A414" s="9">
        <v>514993</v>
      </c>
      <c r="B414" s="2">
        <v>21231</v>
      </c>
      <c r="C414" s="22" t="s">
        <v>493</v>
      </c>
      <c r="D414" s="6">
        <v>6</v>
      </c>
      <c r="E414" s="26">
        <v>40366.605555555558</v>
      </c>
      <c r="F414" s="11">
        <v>1.25</v>
      </c>
      <c r="G414" s="9">
        <v>13593</v>
      </c>
      <c r="H414" s="1" t="s">
        <v>9</v>
      </c>
      <c r="I414" s="3">
        <f t="shared" si="6"/>
        <v>7.5</v>
      </c>
    </row>
    <row r="415" spans="1:9" ht="15.75" customHeight="1" x14ac:dyDescent="0.25">
      <c r="A415" s="9">
        <v>510488</v>
      </c>
      <c r="B415" s="2">
        <v>21623</v>
      </c>
      <c r="C415" s="22" t="s">
        <v>494</v>
      </c>
      <c r="D415" s="6">
        <v>2</v>
      </c>
      <c r="E415" s="26">
        <v>40330.5</v>
      </c>
      <c r="F415" s="11">
        <v>9.9499999999999993</v>
      </c>
      <c r="G415" s="9" t="s">
        <v>495</v>
      </c>
      <c r="H415" s="1" t="s">
        <v>9</v>
      </c>
      <c r="I415" s="3">
        <f t="shared" si="6"/>
        <v>19.899999999999999</v>
      </c>
    </row>
    <row r="416" spans="1:9" ht="15.75" customHeight="1" x14ac:dyDescent="0.25">
      <c r="A416" s="9">
        <v>516158</v>
      </c>
      <c r="B416" s="2">
        <v>21825</v>
      </c>
      <c r="C416" s="22" t="s">
        <v>496</v>
      </c>
      <c r="D416" s="6">
        <v>24</v>
      </c>
      <c r="E416" s="26">
        <v>40377.492361111108</v>
      </c>
      <c r="F416" s="11">
        <v>1.45</v>
      </c>
      <c r="G416" s="9">
        <v>16950</v>
      </c>
      <c r="H416" s="1" t="s">
        <v>9</v>
      </c>
      <c r="I416" s="3">
        <f t="shared" si="6"/>
        <v>34.799999999999997</v>
      </c>
    </row>
    <row r="417" spans="1:9" ht="15.75" customHeight="1" x14ac:dyDescent="0.25">
      <c r="A417" s="9">
        <v>527053</v>
      </c>
      <c r="B417" s="2">
        <v>21212</v>
      </c>
      <c r="C417" s="22" t="s">
        <v>497</v>
      </c>
      <c r="D417" s="6">
        <v>2</v>
      </c>
      <c r="E417" s="26">
        <v>40465.545138888891</v>
      </c>
      <c r="F417" s="11">
        <v>0.55000000000000004</v>
      </c>
      <c r="G417" s="9">
        <v>14343</v>
      </c>
      <c r="H417" s="1" t="s">
        <v>9</v>
      </c>
      <c r="I417" s="3">
        <f t="shared" si="6"/>
        <v>1.1000000000000001</v>
      </c>
    </row>
    <row r="418" spans="1:9" ht="15.75" customHeight="1" x14ac:dyDescent="0.25">
      <c r="A418" s="9">
        <v>532336</v>
      </c>
      <c r="B418" s="2">
        <v>21181</v>
      </c>
      <c r="C418" s="22" t="s">
        <v>498</v>
      </c>
      <c r="D418" s="6">
        <v>12</v>
      </c>
      <c r="E418" s="26">
        <v>40493.657638888893</v>
      </c>
      <c r="F418" s="11">
        <v>2.1</v>
      </c>
      <c r="G418" s="9">
        <v>16471</v>
      </c>
      <c r="H418" s="1" t="s">
        <v>9</v>
      </c>
      <c r="I418" s="3">
        <f t="shared" si="6"/>
        <v>25.200000000000003</v>
      </c>
    </row>
    <row r="419" spans="1:9" ht="15.75" customHeight="1" x14ac:dyDescent="0.25">
      <c r="A419" s="9">
        <v>519539</v>
      </c>
      <c r="B419" s="2">
        <v>22423</v>
      </c>
      <c r="C419" s="22" t="s">
        <v>499</v>
      </c>
      <c r="D419" s="6">
        <v>10</v>
      </c>
      <c r="E419" s="26">
        <v>40408.439583333333</v>
      </c>
      <c r="F419" s="11">
        <v>12.75</v>
      </c>
      <c r="G419" s="9">
        <v>15268</v>
      </c>
      <c r="H419" s="1" t="s">
        <v>9</v>
      </c>
      <c r="I419" s="3">
        <f t="shared" si="6"/>
        <v>127.5</v>
      </c>
    </row>
    <row r="420" spans="1:9" ht="15.75" customHeight="1" x14ac:dyDescent="0.25">
      <c r="A420" s="9">
        <v>523005</v>
      </c>
      <c r="B420" s="2">
        <v>20771</v>
      </c>
      <c r="C420" s="22" t="s">
        <v>500</v>
      </c>
      <c r="D420" s="6">
        <v>1</v>
      </c>
      <c r="E420" s="26">
        <v>40440.680555555547</v>
      </c>
      <c r="F420" s="11">
        <v>2.5499999999999998</v>
      </c>
      <c r="G420" s="9">
        <v>12748</v>
      </c>
      <c r="H420" s="1" t="s">
        <v>9</v>
      </c>
      <c r="I420" s="3">
        <f t="shared" si="6"/>
        <v>2.5499999999999998</v>
      </c>
    </row>
    <row r="421" spans="1:9" ht="15.75" customHeight="1" x14ac:dyDescent="0.25">
      <c r="A421" s="9">
        <v>535953</v>
      </c>
      <c r="B421" s="2" t="s">
        <v>395</v>
      </c>
      <c r="C421" s="22" t="s">
        <v>396</v>
      </c>
      <c r="D421" s="6">
        <v>2</v>
      </c>
      <c r="E421" s="26">
        <v>40511.509027777778</v>
      </c>
      <c r="F421" s="11">
        <v>3.75</v>
      </c>
      <c r="G421" s="9">
        <v>15039</v>
      </c>
      <c r="H421" s="1" t="s">
        <v>9</v>
      </c>
      <c r="I421" s="3">
        <f t="shared" si="6"/>
        <v>7.5</v>
      </c>
    </row>
    <row r="422" spans="1:9" ht="15.75" customHeight="1" x14ac:dyDescent="0.25">
      <c r="A422" s="9">
        <v>522134</v>
      </c>
      <c r="B422" s="2">
        <v>20738</v>
      </c>
      <c r="C422" s="22" t="s">
        <v>501</v>
      </c>
      <c r="D422" s="6">
        <v>100</v>
      </c>
      <c r="E422" s="26">
        <v>40434.417361111111</v>
      </c>
      <c r="F422" s="11">
        <v>0.85</v>
      </c>
      <c r="G422" s="9">
        <v>16013</v>
      </c>
      <c r="H422" s="1" t="s">
        <v>9</v>
      </c>
      <c r="I422" s="3">
        <f t="shared" si="6"/>
        <v>85</v>
      </c>
    </row>
    <row r="423" spans="1:9" ht="15.75" customHeight="1" x14ac:dyDescent="0.25">
      <c r="A423" s="9">
        <v>489830</v>
      </c>
      <c r="B423" s="2">
        <v>21154</v>
      </c>
      <c r="C423" s="22" t="s">
        <v>502</v>
      </c>
      <c r="D423" s="6">
        <v>2</v>
      </c>
      <c r="E423" s="26">
        <v>40149.581250000003</v>
      </c>
      <c r="F423" s="11">
        <v>1.25</v>
      </c>
      <c r="G423" s="9">
        <v>13623</v>
      </c>
      <c r="H423" s="1" t="s">
        <v>9</v>
      </c>
      <c r="I423" s="3">
        <f t="shared" si="6"/>
        <v>2.5</v>
      </c>
    </row>
    <row r="424" spans="1:9" ht="15.75" customHeight="1" x14ac:dyDescent="0.25">
      <c r="A424" s="9">
        <v>530998</v>
      </c>
      <c r="B424" s="2" t="s">
        <v>503</v>
      </c>
      <c r="C424" s="22" t="s">
        <v>504</v>
      </c>
      <c r="D424" s="6">
        <v>2</v>
      </c>
      <c r="E424" s="26">
        <v>40487.470138888893</v>
      </c>
      <c r="F424" s="11">
        <v>1.25</v>
      </c>
      <c r="G424" s="9">
        <v>15034</v>
      </c>
      <c r="H424" s="1" t="s">
        <v>9</v>
      </c>
      <c r="I424" s="3">
        <f t="shared" si="6"/>
        <v>2.5</v>
      </c>
    </row>
    <row r="425" spans="1:9" ht="15.75" customHeight="1" x14ac:dyDescent="0.25">
      <c r="A425" s="9">
        <v>533783</v>
      </c>
      <c r="B425" s="2">
        <v>22188</v>
      </c>
      <c r="C425" s="22" t="s">
        <v>505</v>
      </c>
      <c r="D425" s="6">
        <v>4</v>
      </c>
      <c r="E425" s="26">
        <v>40500.689583333333</v>
      </c>
      <c r="F425" s="11">
        <v>3.95</v>
      </c>
      <c r="G425" s="9">
        <v>18160</v>
      </c>
      <c r="H425" s="1" t="s">
        <v>9</v>
      </c>
      <c r="I425" s="3">
        <f t="shared" si="6"/>
        <v>15.8</v>
      </c>
    </row>
    <row r="426" spans="1:9" ht="15.75" customHeight="1" x14ac:dyDescent="0.25">
      <c r="A426" s="9">
        <v>520861</v>
      </c>
      <c r="B426" s="2">
        <v>21488</v>
      </c>
      <c r="C426" s="22" t="s">
        <v>506</v>
      </c>
      <c r="D426" s="6">
        <v>1</v>
      </c>
      <c r="E426" s="26">
        <v>40421.581250000003</v>
      </c>
      <c r="F426" s="11">
        <v>3.95</v>
      </c>
      <c r="G426" s="9">
        <v>13714</v>
      </c>
      <c r="H426" s="1" t="s">
        <v>9</v>
      </c>
      <c r="I426" s="3">
        <f t="shared" si="6"/>
        <v>3.95</v>
      </c>
    </row>
    <row r="427" spans="1:9" ht="15.75" customHeight="1" x14ac:dyDescent="0.25">
      <c r="A427" s="9">
        <v>527777</v>
      </c>
      <c r="B427" s="2">
        <v>22847</v>
      </c>
      <c r="C427" s="22" t="s">
        <v>507</v>
      </c>
      <c r="D427" s="6">
        <v>2</v>
      </c>
      <c r="E427" s="26">
        <v>40470.459027777782</v>
      </c>
      <c r="F427" s="11">
        <v>16.95</v>
      </c>
      <c r="G427" s="9">
        <v>12476</v>
      </c>
      <c r="H427" s="1" t="s">
        <v>17</v>
      </c>
      <c r="I427" s="3">
        <f t="shared" si="6"/>
        <v>33.9</v>
      </c>
    </row>
    <row r="428" spans="1:9" ht="15.75" customHeight="1" x14ac:dyDescent="0.25">
      <c r="A428" s="9">
        <v>496644</v>
      </c>
      <c r="B428" s="2">
        <v>21944</v>
      </c>
      <c r="C428" s="22" t="s">
        <v>508</v>
      </c>
      <c r="D428" s="6">
        <v>1</v>
      </c>
      <c r="E428" s="26">
        <v>40212.498611111107</v>
      </c>
      <c r="F428" s="11">
        <v>0.85</v>
      </c>
      <c r="G428" s="9">
        <v>15003</v>
      </c>
      <c r="H428" s="1" t="s">
        <v>9</v>
      </c>
      <c r="I428" s="3">
        <f t="shared" si="6"/>
        <v>0.85</v>
      </c>
    </row>
    <row r="429" spans="1:9" ht="15.75" customHeight="1" x14ac:dyDescent="0.25">
      <c r="A429" s="9">
        <v>506754</v>
      </c>
      <c r="B429" s="2">
        <v>20723</v>
      </c>
      <c r="C429" s="22" t="s">
        <v>509</v>
      </c>
      <c r="D429" s="6">
        <v>10</v>
      </c>
      <c r="E429" s="26">
        <v>40302.493750000001</v>
      </c>
      <c r="F429" s="11">
        <v>0.85</v>
      </c>
      <c r="G429" s="9">
        <v>14110</v>
      </c>
      <c r="H429" s="1" t="s">
        <v>9</v>
      </c>
      <c r="I429" s="3">
        <f t="shared" si="6"/>
        <v>8.5</v>
      </c>
    </row>
    <row r="430" spans="1:9" ht="15.75" customHeight="1" x14ac:dyDescent="0.25">
      <c r="A430" s="9">
        <v>520207</v>
      </c>
      <c r="B430" s="2">
        <v>21054</v>
      </c>
      <c r="C430" s="22" t="s">
        <v>510</v>
      </c>
      <c r="D430" s="6">
        <v>2</v>
      </c>
      <c r="E430" s="26">
        <v>40414.676388888889</v>
      </c>
      <c r="F430" s="11">
        <v>8.9499999999999993</v>
      </c>
      <c r="G430" s="9">
        <v>15666</v>
      </c>
      <c r="H430" s="1" t="s">
        <v>9</v>
      </c>
      <c r="I430" s="3">
        <f t="shared" si="6"/>
        <v>17.899999999999999</v>
      </c>
    </row>
    <row r="431" spans="1:9" ht="15.75" customHeight="1" x14ac:dyDescent="0.25">
      <c r="A431" s="9">
        <v>526906</v>
      </c>
      <c r="B431" s="2">
        <v>22553</v>
      </c>
      <c r="C431" s="22" t="s">
        <v>259</v>
      </c>
      <c r="D431" s="6">
        <v>1</v>
      </c>
      <c r="E431" s="26">
        <v>40464.640277777777</v>
      </c>
      <c r="F431" s="11">
        <v>1.65</v>
      </c>
      <c r="G431" s="9">
        <v>16120</v>
      </c>
      <c r="H431" s="1" t="s">
        <v>9</v>
      </c>
      <c r="I431" s="3">
        <f t="shared" si="6"/>
        <v>1.65</v>
      </c>
    </row>
    <row r="432" spans="1:9" ht="15.75" customHeight="1" x14ac:dyDescent="0.25">
      <c r="A432" s="9">
        <v>522276</v>
      </c>
      <c r="B432" s="2">
        <v>22023</v>
      </c>
      <c r="C432" s="22" t="s">
        <v>511</v>
      </c>
      <c r="D432" s="6">
        <v>24</v>
      </c>
      <c r="E432" s="26">
        <v>40434.532638888893</v>
      </c>
      <c r="F432" s="11">
        <v>0.36</v>
      </c>
      <c r="G432" s="9">
        <v>15061</v>
      </c>
      <c r="H432" s="1" t="s">
        <v>9</v>
      </c>
      <c r="I432" s="3">
        <f t="shared" si="6"/>
        <v>8.64</v>
      </c>
    </row>
    <row r="433" spans="1:9" ht="15.75" customHeight="1" x14ac:dyDescent="0.25">
      <c r="A433" s="9">
        <v>536182</v>
      </c>
      <c r="B433" s="2">
        <v>22600</v>
      </c>
      <c r="C433" s="22" t="s">
        <v>365</v>
      </c>
      <c r="D433" s="6">
        <v>12</v>
      </c>
      <c r="E433" s="26">
        <v>40512.517361111109</v>
      </c>
      <c r="F433" s="11">
        <v>0.85</v>
      </c>
      <c r="G433" s="9">
        <v>18260</v>
      </c>
      <c r="H433" s="1" t="s">
        <v>9</v>
      </c>
      <c r="I433" s="3">
        <f t="shared" si="6"/>
        <v>10.199999999999999</v>
      </c>
    </row>
    <row r="434" spans="1:9" ht="15.75" customHeight="1" x14ac:dyDescent="0.25">
      <c r="A434" s="9">
        <v>525401</v>
      </c>
      <c r="B434" s="2">
        <v>20972</v>
      </c>
      <c r="C434" s="22" t="s">
        <v>512</v>
      </c>
      <c r="D434" s="6">
        <v>24</v>
      </c>
      <c r="E434" s="26">
        <v>40456.494444444441</v>
      </c>
      <c r="F434" s="11">
        <v>1.25</v>
      </c>
      <c r="G434" s="9">
        <v>14844</v>
      </c>
      <c r="H434" s="1" t="s">
        <v>9</v>
      </c>
      <c r="I434" s="3">
        <f t="shared" si="6"/>
        <v>30</v>
      </c>
    </row>
    <row r="435" spans="1:9" ht="15.75" customHeight="1" x14ac:dyDescent="0.25">
      <c r="A435" s="9">
        <v>534788</v>
      </c>
      <c r="B435" s="2">
        <v>21561</v>
      </c>
      <c r="C435" s="22" t="s">
        <v>513</v>
      </c>
      <c r="D435" s="6">
        <v>1</v>
      </c>
      <c r="E435" s="26">
        <v>40506.475694444453</v>
      </c>
      <c r="F435" s="11">
        <v>2.5499999999999998</v>
      </c>
      <c r="G435" s="9">
        <v>16782</v>
      </c>
      <c r="H435" s="1" t="s">
        <v>9</v>
      </c>
      <c r="I435" s="3">
        <f t="shared" si="6"/>
        <v>2.5499999999999998</v>
      </c>
    </row>
    <row r="436" spans="1:9" ht="15.75" customHeight="1" x14ac:dyDescent="0.25">
      <c r="A436" s="9">
        <v>509743</v>
      </c>
      <c r="B436" s="2" t="s">
        <v>514</v>
      </c>
      <c r="C436" s="22" t="s">
        <v>515</v>
      </c>
      <c r="D436" s="6">
        <v>4</v>
      </c>
      <c r="E436" s="26">
        <v>40323.556250000001</v>
      </c>
      <c r="F436" s="11" t="s">
        <v>516</v>
      </c>
      <c r="G436" s="9">
        <v>17841</v>
      </c>
      <c r="H436" s="1" t="s">
        <v>9</v>
      </c>
      <c r="I436" s="3">
        <f t="shared" si="6"/>
        <v>139.80000000000001</v>
      </c>
    </row>
    <row r="437" spans="1:9" ht="15.75" customHeight="1" x14ac:dyDescent="0.25">
      <c r="A437" s="9">
        <v>498104</v>
      </c>
      <c r="B437" s="2">
        <v>22348</v>
      </c>
      <c r="C437" s="22" t="s">
        <v>517</v>
      </c>
      <c r="D437" s="6">
        <v>4</v>
      </c>
      <c r="E437" s="26">
        <v>40225.575694444437</v>
      </c>
      <c r="F437" s="11">
        <v>0.85</v>
      </c>
      <c r="G437" s="9">
        <v>13503</v>
      </c>
      <c r="H437" s="1" t="s">
        <v>9</v>
      </c>
      <c r="I437" s="3">
        <f t="shared" si="6"/>
        <v>3.4</v>
      </c>
    </row>
    <row r="438" spans="1:9" ht="15.75" customHeight="1" x14ac:dyDescent="0.25">
      <c r="A438" s="9">
        <v>500639</v>
      </c>
      <c r="B438" s="2">
        <v>21210</v>
      </c>
      <c r="C438" s="22" t="s">
        <v>518</v>
      </c>
      <c r="D438" s="6">
        <v>12</v>
      </c>
      <c r="E438" s="26">
        <v>40246.453472222223</v>
      </c>
      <c r="F438" s="11">
        <v>1.45</v>
      </c>
      <c r="G438" s="9">
        <v>12495</v>
      </c>
      <c r="H438" s="1" t="s">
        <v>519</v>
      </c>
      <c r="I438" s="3">
        <f t="shared" si="6"/>
        <v>17.399999999999999</v>
      </c>
    </row>
    <row r="439" spans="1:9" ht="15.75" customHeight="1" x14ac:dyDescent="0.25">
      <c r="A439" s="9">
        <v>534030</v>
      </c>
      <c r="B439" s="2">
        <v>84050</v>
      </c>
      <c r="C439" s="22" t="s">
        <v>520</v>
      </c>
      <c r="D439" s="6">
        <v>6</v>
      </c>
      <c r="E439" s="26">
        <v>40501.634027777778</v>
      </c>
      <c r="F439" s="11">
        <v>1.65</v>
      </c>
      <c r="G439" s="9">
        <v>12721</v>
      </c>
      <c r="H439" s="1" t="s">
        <v>28</v>
      </c>
      <c r="I439" s="3">
        <f t="shared" si="6"/>
        <v>9.8999999999999986</v>
      </c>
    </row>
    <row r="440" spans="1:9" ht="15.75" customHeight="1" x14ac:dyDescent="0.25">
      <c r="A440" s="9">
        <v>522273</v>
      </c>
      <c r="B440" s="2">
        <v>21174</v>
      </c>
      <c r="C440" s="22" t="s">
        <v>521</v>
      </c>
      <c r="D440" s="6">
        <v>1</v>
      </c>
      <c r="E440" s="26">
        <v>40434.52847222222</v>
      </c>
      <c r="F440" s="11">
        <v>1.95</v>
      </c>
      <c r="G440" s="9">
        <v>16470</v>
      </c>
      <c r="H440" s="1" t="s">
        <v>9</v>
      </c>
      <c r="I440" s="3">
        <f t="shared" si="6"/>
        <v>1.95</v>
      </c>
    </row>
    <row r="441" spans="1:9" ht="15.75" customHeight="1" x14ac:dyDescent="0.25">
      <c r="A441" s="9">
        <v>507647</v>
      </c>
      <c r="B441" s="2" t="s">
        <v>522</v>
      </c>
      <c r="C441" s="22" t="s">
        <v>523</v>
      </c>
      <c r="D441" s="6">
        <v>25</v>
      </c>
      <c r="E441" s="26">
        <v>40308.656944444447</v>
      </c>
      <c r="F441" s="11">
        <v>0.85</v>
      </c>
      <c r="G441" s="9">
        <v>18275</v>
      </c>
      <c r="H441" s="1" t="s">
        <v>9</v>
      </c>
      <c r="I441" s="3">
        <f t="shared" si="6"/>
        <v>21.25</v>
      </c>
    </row>
    <row r="442" spans="1:9" ht="15.75" customHeight="1" x14ac:dyDescent="0.25">
      <c r="A442" s="9">
        <v>514839</v>
      </c>
      <c r="B442" s="2">
        <v>21621</v>
      </c>
      <c r="C442" s="22" t="s">
        <v>524</v>
      </c>
      <c r="D442" s="6">
        <v>20</v>
      </c>
      <c r="E442" s="26">
        <v>40365.615277777782</v>
      </c>
      <c r="F442" s="11">
        <v>8.5</v>
      </c>
      <c r="G442" s="9">
        <v>16126</v>
      </c>
      <c r="H442" s="1" t="s">
        <v>9</v>
      </c>
      <c r="I442" s="3">
        <f t="shared" si="6"/>
        <v>170</v>
      </c>
    </row>
    <row r="443" spans="1:9" ht="15.75" customHeight="1" x14ac:dyDescent="0.25">
      <c r="A443" s="9">
        <v>492517</v>
      </c>
      <c r="B443" s="2">
        <v>20702</v>
      </c>
      <c r="C443" s="22" t="s">
        <v>525</v>
      </c>
      <c r="D443" s="6">
        <v>3</v>
      </c>
      <c r="E443" s="26">
        <v>40164.499305555553</v>
      </c>
      <c r="F443" s="11">
        <v>4.25</v>
      </c>
      <c r="G443" s="9">
        <v>17612</v>
      </c>
      <c r="H443" s="1" t="s">
        <v>9</v>
      </c>
      <c r="I443" s="3">
        <f t="shared" si="6"/>
        <v>12.75</v>
      </c>
    </row>
    <row r="444" spans="1:9" ht="15.75" customHeight="1" x14ac:dyDescent="0.25">
      <c r="A444" s="9">
        <v>495244</v>
      </c>
      <c r="B444" s="2">
        <v>22046</v>
      </c>
      <c r="C444" s="22" t="s">
        <v>526</v>
      </c>
      <c r="D444" s="6">
        <v>25</v>
      </c>
      <c r="E444" s="26">
        <v>40200.45208333333</v>
      </c>
      <c r="F444" s="11">
        <v>0.42</v>
      </c>
      <c r="G444" s="9">
        <v>15179</v>
      </c>
      <c r="H444" s="1" t="s">
        <v>9</v>
      </c>
      <c r="I444" s="3">
        <f t="shared" si="6"/>
        <v>10.5</v>
      </c>
    </row>
    <row r="445" spans="1:9" ht="15.75" customHeight="1" x14ac:dyDescent="0.25">
      <c r="A445" s="9">
        <v>526575</v>
      </c>
      <c r="B445" s="2" t="s">
        <v>363</v>
      </c>
      <c r="C445" s="22" t="s">
        <v>364</v>
      </c>
      <c r="D445" s="6">
        <v>2</v>
      </c>
      <c r="E445" s="26">
        <v>40463.491666666669</v>
      </c>
      <c r="F445" s="11">
        <v>9.9499999999999993</v>
      </c>
      <c r="G445" s="9">
        <v>16126</v>
      </c>
      <c r="H445" s="1" t="s">
        <v>9</v>
      </c>
      <c r="I445" s="3">
        <f t="shared" si="6"/>
        <v>19.899999999999999</v>
      </c>
    </row>
    <row r="446" spans="1:9" ht="15.75" customHeight="1" x14ac:dyDescent="0.25">
      <c r="A446" s="9">
        <v>532764</v>
      </c>
      <c r="B446" s="2" t="s">
        <v>527</v>
      </c>
      <c r="C446" s="22" t="s">
        <v>528</v>
      </c>
      <c r="D446" s="6">
        <v>1</v>
      </c>
      <c r="E446" s="26">
        <v>40496.588194444441</v>
      </c>
      <c r="F446" s="11">
        <v>2.95</v>
      </c>
      <c r="G446" s="9">
        <v>14684</v>
      </c>
      <c r="H446" s="1" t="s">
        <v>9</v>
      </c>
      <c r="I446" s="3">
        <f t="shared" si="6"/>
        <v>2.95</v>
      </c>
    </row>
    <row r="447" spans="1:9" ht="15.75" customHeight="1" x14ac:dyDescent="0.25">
      <c r="A447" s="9">
        <v>524099</v>
      </c>
      <c r="B447" s="2">
        <v>22312</v>
      </c>
      <c r="C447" s="22" t="s">
        <v>529</v>
      </c>
      <c r="D447" s="6">
        <v>3</v>
      </c>
      <c r="E447" s="26">
        <v>40448.51666666667</v>
      </c>
      <c r="F447" s="11">
        <v>2.95</v>
      </c>
      <c r="G447" s="9">
        <v>13448</v>
      </c>
      <c r="H447" s="1" t="s">
        <v>9</v>
      </c>
      <c r="I447" s="3">
        <f t="shared" si="6"/>
        <v>8.8500000000000014</v>
      </c>
    </row>
    <row r="448" spans="1:9" ht="15.75" customHeight="1" x14ac:dyDescent="0.25">
      <c r="A448" s="9">
        <v>530763</v>
      </c>
      <c r="B448" s="2">
        <v>22553</v>
      </c>
      <c r="C448" s="22" t="s">
        <v>259</v>
      </c>
      <c r="D448" s="6">
        <v>12</v>
      </c>
      <c r="E448" s="26">
        <v>40486.499305555553</v>
      </c>
      <c r="F448" s="11">
        <v>1.65</v>
      </c>
      <c r="G448" s="9">
        <v>15379</v>
      </c>
      <c r="H448" s="1" t="s">
        <v>9</v>
      </c>
      <c r="I448" s="3">
        <f t="shared" si="6"/>
        <v>19.799999999999997</v>
      </c>
    </row>
    <row r="449" spans="1:9" ht="15.75" customHeight="1" x14ac:dyDescent="0.25">
      <c r="A449" s="9">
        <v>520885</v>
      </c>
      <c r="B449" s="2">
        <v>21731</v>
      </c>
      <c r="C449" s="22" t="s">
        <v>96</v>
      </c>
      <c r="D449" s="6">
        <v>1</v>
      </c>
      <c r="E449" s="26">
        <v>40421.681250000001</v>
      </c>
      <c r="F449" s="11" t="s">
        <v>212</v>
      </c>
      <c r="G449" s="9">
        <v>14040</v>
      </c>
      <c r="H449" s="1" t="s">
        <v>9</v>
      </c>
      <c r="I449" s="3">
        <f t="shared" si="6"/>
        <v>1.65</v>
      </c>
    </row>
    <row r="450" spans="1:9" ht="15.75" customHeight="1" x14ac:dyDescent="0.25">
      <c r="A450" s="9">
        <v>506578</v>
      </c>
      <c r="B450" s="2">
        <v>21578</v>
      </c>
      <c r="C450" s="22" t="s">
        <v>530</v>
      </c>
      <c r="D450" s="6">
        <v>12</v>
      </c>
      <c r="E450" s="26">
        <v>40298.577777777777</v>
      </c>
      <c r="F450" s="11">
        <v>2.25</v>
      </c>
      <c r="G450" s="9">
        <v>12708</v>
      </c>
      <c r="H450" s="1" t="s">
        <v>17</v>
      </c>
      <c r="I450" s="3">
        <f t="shared" ref="I450:I513" si="7">(D450 *F450)</f>
        <v>27</v>
      </c>
    </row>
    <row r="451" spans="1:9" ht="15.75" customHeight="1" x14ac:dyDescent="0.25">
      <c r="A451" s="9">
        <v>492153</v>
      </c>
      <c r="B451" s="2" t="s">
        <v>424</v>
      </c>
      <c r="C451" s="22" t="s">
        <v>425</v>
      </c>
      <c r="D451" s="6">
        <v>4</v>
      </c>
      <c r="E451" s="26">
        <v>40162.604166666657</v>
      </c>
      <c r="F451" s="11" t="s">
        <v>109</v>
      </c>
      <c r="G451" s="9">
        <v>17797</v>
      </c>
      <c r="H451" s="1" t="s">
        <v>9</v>
      </c>
      <c r="I451" s="3">
        <f t="shared" si="7"/>
        <v>3.4</v>
      </c>
    </row>
    <row r="452" spans="1:9" ht="15.75" customHeight="1" x14ac:dyDescent="0.25">
      <c r="A452" s="9">
        <v>508721</v>
      </c>
      <c r="B452" s="2">
        <v>21427</v>
      </c>
      <c r="C452" s="22" t="s">
        <v>531</v>
      </c>
      <c r="D452" s="6">
        <v>3</v>
      </c>
      <c r="E452" s="26">
        <v>40315.724999999999</v>
      </c>
      <c r="F452" s="11">
        <v>2.1</v>
      </c>
      <c r="G452" s="9">
        <v>14606</v>
      </c>
      <c r="H452" s="1" t="s">
        <v>9</v>
      </c>
      <c r="I452" s="3">
        <f t="shared" si="7"/>
        <v>6.3000000000000007</v>
      </c>
    </row>
    <row r="453" spans="1:9" ht="15.75" customHeight="1" x14ac:dyDescent="0.25">
      <c r="A453" s="9">
        <v>507420</v>
      </c>
      <c r="B453" s="2">
        <v>21645</v>
      </c>
      <c r="C453" s="22" t="s">
        <v>532</v>
      </c>
      <c r="D453" s="6">
        <v>1</v>
      </c>
      <c r="E453" s="26">
        <v>40307.629166666673</v>
      </c>
      <c r="F453" s="11">
        <v>1.65</v>
      </c>
      <c r="G453" s="9">
        <v>12748</v>
      </c>
      <c r="H453" s="1" t="s">
        <v>9</v>
      </c>
      <c r="I453" s="3">
        <f t="shared" si="7"/>
        <v>1.65</v>
      </c>
    </row>
    <row r="454" spans="1:9" ht="15.75" customHeight="1" x14ac:dyDescent="0.25">
      <c r="A454" s="9">
        <v>534164</v>
      </c>
      <c r="B454" s="2">
        <v>22910</v>
      </c>
      <c r="C454" s="22" t="s">
        <v>533</v>
      </c>
      <c r="D454" s="6">
        <v>2</v>
      </c>
      <c r="E454" s="26">
        <v>40503.550694444442</v>
      </c>
      <c r="F454" s="11">
        <v>2.95</v>
      </c>
      <c r="G454" s="9">
        <v>16241</v>
      </c>
      <c r="H454" s="1" t="s">
        <v>9</v>
      </c>
      <c r="I454" s="3">
        <f t="shared" si="7"/>
        <v>5.9</v>
      </c>
    </row>
    <row r="455" spans="1:9" ht="15.75" customHeight="1" x14ac:dyDescent="0.25">
      <c r="A455" s="9">
        <v>537850</v>
      </c>
      <c r="B455" s="2" t="s">
        <v>534</v>
      </c>
      <c r="C455" s="22" t="s">
        <v>535</v>
      </c>
      <c r="D455" s="6">
        <v>6</v>
      </c>
      <c r="E455" s="26">
        <v>40520.651388888888</v>
      </c>
      <c r="F455" s="11">
        <v>1.25</v>
      </c>
      <c r="G455" s="9">
        <v>16722</v>
      </c>
      <c r="H455" s="1" t="s">
        <v>9</v>
      </c>
      <c r="I455" s="3">
        <f t="shared" si="7"/>
        <v>7.5</v>
      </c>
    </row>
    <row r="456" spans="1:9" ht="15.75" customHeight="1" x14ac:dyDescent="0.25">
      <c r="A456" s="9">
        <v>503060</v>
      </c>
      <c r="B456" s="2">
        <v>21260</v>
      </c>
      <c r="C456" s="22" t="s">
        <v>202</v>
      </c>
      <c r="D456" s="6">
        <v>2</v>
      </c>
      <c r="E456" s="26">
        <v>40266.686111111107</v>
      </c>
      <c r="F456" s="11">
        <v>3.25</v>
      </c>
      <c r="G456" s="9">
        <v>13412</v>
      </c>
      <c r="H456" s="1" t="s">
        <v>9</v>
      </c>
      <c r="I456" s="3">
        <f t="shared" si="7"/>
        <v>6.5</v>
      </c>
    </row>
    <row r="457" spans="1:9" ht="15.75" customHeight="1" x14ac:dyDescent="0.25">
      <c r="A457" s="9">
        <v>521898</v>
      </c>
      <c r="B457" s="2">
        <v>22112</v>
      </c>
      <c r="C457" s="22" t="s">
        <v>199</v>
      </c>
      <c r="D457" s="6">
        <v>2</v>
      </c>
      <c r="E457" s="26">
        <v>40430.51666666667</v>
      </c>
      <c r="F457" s="11">
        <v>4.95</v>
      </c>
      <c r="G457" s="9">
        <v>17243</v>
      </c>
      <c r="H457" s="1" t="s">
        <v>9</v>
      </c>
      <c r="I457" s="3">
        <f t="shared" si="7"/>
        <v>9.9</v>
      </c>
    </row>
    <row r="458" spans="1:9" ht="15.75" customHeight="1" x14ac:dyDescent="0.25">
      <c r="A458" s="9">
        <v>509865</v>
      </c>
      <c r="B458" s="2">
        <v>47566</v>
      </c>
      <c r="C458" s="22" t="s">
        <v>55</v>
      </c>
      <c r="D458" s="6" t="s">
        <v>536</v>
      </c>
      <c r="E458" s="26">
        <v>40324.436805555553</v>
      </c>
      <c r="F458" s="11">
        <v>4.6500000000000004</v>
      </c>
      <c r="G458" s="9">
        <v>16844</v>
      </c>
      <c r="H458" s="1" t="s">
        <v>9</v>
      </c>
      <c r="I458" s="3">
        <f t="shared" si="7"/>
        <v>23.25</v>
      </c>
    </row>
    <row r="459" spans="1:9" ht="15.75" customHeight="1" x14ac:dyDescent="0.25">
      <c r="A459" s="9">
        <v>510443</v>
      </c>
      <c r="B459" s="2">
        <v>21577</v>
      </c>
      <c r="C459" s="22" t="s">
        <v>537</v>
      </c>
      <c r="D459" s="6">
        <v>1</v>
      </c>
      <c r="E459" s="26">
        <v>40328.643750000003</v>
      </c>
      <c r="F459" s="11">
        <v>2.25</v>
      </c>
      <c r="G459" s="9">
        <v>14606</v>
      </c>
      <c r="H459" s="1" t="s">
        <v>9</v>
      </c>
      <c r="I459" s="3">
        <f t="shared" si="7"/>
        <v>2.25</v>
      </c>
    </row>
    <row r="460" spans="1:9" ht="15.75" customHeight="1" x14ac:dyDescent="0.25">
      <c r="A460" s="9">
        <v>532325</v>
      </c>
      <c r="B460" s="2">
        <v>22112</v>
      </c>
      <c r="C460" s="22" t="s">
        <v>199</v>
      </c>
      <c r="D460" s="6">
        <v>3</v>
      </c>
      <c r="E460" s="26">
        <v>40493.642361111109</v>
      </c>
      <c r="F460" s="11">
        <v>4.95</v>
      </c>
      <c r="G460" s="9">
        <v>16735</v>
      </c>
      <c r="H460" s="1" t="s">
        <v>9</v>
      </c>
      <c r="I460" s="3">
        <f t="shared" si="7"/>
        <v>14.850000000000001</v>
      </c>
    </row>
    <row r="461" spans="1:9" ht="15.75" customHeight="1" x14ac:dyDescent="0.25">
      <c r="A461" s="9">
        <v>506258</v>
      </c>
      <c r="B461" s="2">
        <v>22090</v>
      </c>
      <c r="C461" s="22" t="s">
        <v>538</v>
      </c>
      <c r="D461" s="6">
        <v>6</v>
      </c>
      <c r="E461" s="26">
        <v>40296.600694444453</v>
      </c>
      <c r="F461" s="11">
        <v>2.95</v>
      </c>
      <c r="G461" s="9">
        <v>15738</v>
      </c>
      <c r="H461" s="1" t="s">
        <v>9</v>
      </c>
      <c r="I461" s="3">
        <f t="shared" si="7"/>
        <v>17.700000000000003</v>
      </c>
    </row>
    <row r="462" spans="1:9" ht="15.75" customHeight="1" x14ac:dyDescent="0.25">
      <c r="A462" s="9">
        <v>526217</v>
      </c>
      <c r="B462" s="2" t="s">
        <v>540</v>
      </c>
      <c r="C462" s="22" t="s">
        <v>541</v>
      </c>
      <c r="D462" s="6">
        <v>1</v>
      </c>
      <c r="E462" s="26">
        <v>40461.604166666657</v>
      </c>
      <c r="F462" s="11">
        <v>5.95</v>
      </c>
      <c r="G462" s="9">
        <v>14390</v>
      </c>
      <c r="H462" s="1" t="s">
        <v>9</v>
      </c>
      <c r="I462" s="3">
        <f t="shared" si="7"/>
        <v>5.95</v>
      </c>
    </row>
    <row r="463" spans="1:9" ht="15.75" customHeight="1" x14ac:dyDescent="0.25">
      <c r="A463" s="9">
        <v>497235</v>
      </c>
      <c r="B463" s="2">
        <v>21621</v>
      </c>
      <c r="C463" s="22" t="s">
        <v>524</v>
      </c>
      <c r="D463" s="6">
        <v>2</v>
      </c>
      <c r="E463" s="26">
        <v>40217.424305555563</v>
      </c>
      <c r="F463" s="11">
        <v>8.5</v>
      </c>
      <c r="G463" s="9">
        <v>18223</v>
      </c>
      <c r="H463" s="1" t="s">
        <v>9</v>
      </c>
      <c r="I463" s="3">
        <f t="shared" si="7"/>
        <v>17</v>
      </c>
    </row>
    <row r="464" spans="1:9" ht="15.75" customHeight="1" x14ac:dyDescent="0.25">
      <c r="A464" s="9">
        <v>497808</v>
      </c>
      <c r="B464" s="2">
        <v>22030</v>
      </c>
      <c r="C464" s="22" t="s">
        <v>448</v>
      </c>
      <c r="D464" s="6">
        <v>12</v>
      </c>
      <c r="E464" s="26">
        <v>40221.604861111111</v>
      </c>
      <c r="F464" s="11">
        <v>0.42</v>
      </c>
      <c r="G464" s="9">
        <v>17226</v>
      </c>
      <c r="H464" s="1" t="s">
        <v>9</v>
      </c>
      <c r="I464" s="3">
        <f t="shared" si="7"/>
        <v>5.04</v>
      </c>
    </row>
    <row r="465" spans="1:9" ht="15.75" customHeight="1" x14ac:dyDescent="0.25">
      <c r="A465" s="9">
        <v>511362</v>
      </c>
      <c r="B465" s="2" t="s">
        <v>542</v>
      </c>
      <c r="C465" s="22" t="s">
        <v>543</v>
      </c>
      <c r="D465" s="6">
        <v>4</v>
      </c>
      <c r="E465" s="26">
        <v>40337.468055555553</v>
      </c>
      <c r="F465" s="11">
        <v>7.95</v>
      </c>
      <c r="G465" s="9">
        <v>15039</v>
      </c>
      <c r="H465" s="1" t="s">
        <v>9</v>
      </c>
      <c r="I465" s="3">
        <f t="shared" si="7"/>
        <v>31.8</v>
      </c>
    </row>
    <row r="466" spans="1:9" ht="15.75" customHeight="1" x14ac:dyDescent="0.25">
      <c r="A466" s="9" t="s">
        <v>544</v>
      </c>
      <c r="B466" s="2">
        <v>22750</v>
      </c>
      <c r="C466" s="22" t="s">
        <v>545</v>
      </c>
      <c r="D466" s="6">
        <v>-4</v>
      </c>
      <c r="E466" s="26">
        <v>40431.463194444441</v>
      </c>
      <c r="F466" s="11">
        <v>3.75</v>
      </c>
      <c r="G466" s="9">
        <v>12921</v>
      </c>
      <c r="H466" s="1" t="s">
        <v>9</v>
      </c>
      <c r="I466" s="3">
        <f t="shared" si="7"/>
        <v>-15</v>
      </c>
    </row>
    <row r="467" spans="1:9" ht="15.75" customHeight="1" x14ac:dyDescent="0.25">
      <c r="A467" s="9">
        <v>514108</v>
      </c>
      <c r="B467" s="2">
        <v>22402</v>
      </c>
      <c r="C467" s="22" t="s">
        <v>546</v>
      </c>
      <c r="D467" s="6">
        <v>3</v>
      </c>
      <c r="E467" s="26">
        <v>40359.532638888893</v>
      </c>
      <c r="F467" s="11">
        <v>1.25</v>
      </c>
      <c r="G467" s="9">
        <v>13756</v>
      </c>
      <c r="H467" s="1" t="s">
        <v>9</v>
      </c>
      <c r="I467" s="3">
        <f t="shared" si="7"/>
        <v>3.75</v>
      </c>
    </row>
    <row r="468" spans="1:9" ht="15.75" customHeight="1" x14ac:dyDescent="0.25">
      <c r="A468" s="9">
        <v>505554</v>
      </c>
      <c r="B468" s="2">
        <v>48138</v>
      </c>
      <c r="C468" s="22" t="s">
        <v>183</v>
      </c>
      <c r="D468" s="6">
        <v>2</v>
      </c>
      <c r="E468" s="26">
        <v>40291.410416666673</v>
      </c>
      <c r="F468" s="11">
        <v>7.49</v>
      </c>
      <c r="G468" s="9">
        <v>12747</v>
      </c>
      <c r="H468" s="1" t="s">
        <v>9</v>
      </c>
      <c r="I468" s="3">
        <f t="shared" si="7"/>
        <v>14.98</v>
      </c>
    </row>
    <row r="469" spans="1:9" ht="15.75" customHeight="1" x14ac:dyDescent="0.25">
      <c r="A469" s="9">
        <v>527957</v>
      </c>
      <c r="B469" s="2">
        <v>21231</v>
      </c>
      <c r="C469" s="22" t="s">
        <v>493</v>
      </c>
      <c r="D469" s="6">
        <v>24</v>
      </c>
      <c r="E469" s="26">
        <v>40470.693055555559</v>
      </c>
      <c r="F469" s="11">
        <v>1.25</v>
      </c>
      <c r="G469" s="9">
        <v>13081</v>
      </c>
      <c r="H469" s="1" t="s">
        <v>9</v>
      </c>
      <c r="I469" s="3">
        <f t="shared" si="7"/>
        <v>30</v>
      </c>
    </row>
    <row r="470" spans="1:9" ht="15.75" customHeight="1" x14ac:dyDescent="0.25">
      <c r="A470" s="9">
        <v>491457</v>
      </c>
      <c r="B470" s="2">
        <v>21146</v>
      </c>
      <c r="C470" s="22" t="s">
        <v>547</v>
      </c>
      <c r="D470" s="6">
        <v>4</v>
      </c>
      <c r="E470" s="26">
        <v>40158.476388888892</v>
      </c>
      <c r="F470" s="11">
        <v>1.95</v>
      </c>
      <c r="G470" s="9">
        <v>15998</v>
      </c>
      <c r="H470" s="1" t="s">
        <v>9</v>
      </c>
      <c r="I470" s="3">
        <f t="shared" si="7"/>
        <v>7.8</v>
      </c>
    </row>
    <row r="471" spans="1:9" ht="15.75" customHeight="1" x14ac:dyDescent="0.25">
      <c r="A471" s="9">
        <v>517042</v>
      </c>
      <c r="B471" s="2">
        <v>22428</v>
      </c>
      <c r="C471" s="22" t="s">
        <v>548</v>
      </c>
      <c r="D471" s="6">
        <v>1</v>
      </c>
      <c r="E471" s="26">
        <v>40385.490277777782</v>
      </c>
      <c r="F471" s="11">
        <v>6.95</v>
      </c>
      <c r="G471" s="9">
        <v>13069</v>
      </c>
      <c r="H471" s="1" t="s">
        <v>9</v>
      </c>
      <c r="I471" s="3">
        <f t="shared" si="7"/>
        <v>6.95</v>
      </c>
    </row>
    <row r="472" spans="1:9" ht="15.75" customHeight="1" x14ac:dyDescent="0.25">
      <c r="A472" s="9">
        <v>521974</v>
      </c>
      <c r="B472" s="2">
        <v>22352</v>
      </c>
      <c r="C472" s="22" t="s">
        <v>549</v>
      </c>
      <c r="D472" s="6">
        <v>2</v>
      </c>
      <c r="E472" s="26">
        <v>40430.830555555563</v>
      </c>
      <c r="F472" s="11">
        <v>2.5499999999999998</v>
      </c>
      <c r="G472" s="9">
        <v>15861</v>
      </c>
      <c r="H472" s="1" t="s">
        <v>9</v>
      </c>
      <c r="I472" s="3">
        <f t="shared" si="7"/>
        <v>5.0999999999999996</v>
      </c>
    </row>
    <row r="473" spans="1:9" ht="15.75" customHeight="1" x14ac:dyDescent="0.25">
      <c r="A473" s="9">
        <v>530434</v>
      </c>
      <c r="B473" s="2">
        <v>21914</v>
      </c>
      <c r="C473" s="22" t="s">
        <v>550</v>
      </c>
      <c r="D473" s="6">
        <v>24</v>
      </c>
      <c r="E473" s="26">
        <v>40485.449305555558</v>
      </c>
      <c r="F473" s="11">
        <v>1.25</v>
      </c>
      <c r="G473" s="9">
        <v>17511</v>
      </c>
      <c r="H473" s="1" t="s">
        <v>9</v>
      </c>
      <c r="I473" s="3">
        <f t="shared" si="7"/>
        <v>30</v>
      </c>
    </row>
    <row r="474" spans="1:9" ht="15.75" customHeight="1" x14ac:dyDescent="0.25">
      <c r="A474" s="9">
        <v>510429</v>
      </c>
      <c r="B474" s="2">
        <v>22521</v>
      </c>
      <c r="C474" s="22" t="s">
        <v>551</v>
      </c>
      <c r="D474" s="6">
        <v>4</v>
      </c>
      <c r="E474" s="26">
        <v>40328.538194444453</v>
      </c>
      <c r="F474" s="11">
        <v>0.85</v>
      </c>
      <c r="G474" s="9">
        <v>17618</v>
      </c>
      <c r="H474" s="1" t="s">
        <v>9</v>
      </c>
      <c r="I474" s="3">
        <f t="shared" si="7"/>
        <v>3.4</v>
      </c>
    </row>
    <row r="475" spans="1:9" ht="15.75" customHeight="1" x14ac:dyDescent="0.25">
      <c r="A475" s="9">
        <v>518484</v>
      </c>
      <c r="B475" s="2">
        <v>20910</v>
      </c>
      <c r="C475" s="22" t="s">
        <v>552</v>
      </c>
      <c r="D475" s="6">
        <v>1</v>
      </c>
      <c r="E475" s="26">
        <v>40399.518750000003</v>
      </c>
      <c r="F475" s="11">
        <v>6.35</v>
      </c>
      <c r="G475" s="9">
        <v>17841</v>
      </c>
      <c r="H475" s="1" t="s">
        <v>9</v>
      </c>
      <c r="I475" s="3">
        <f t="shared" si="7"/>
        <v>6.35</v>
      </c>
    </row>
    <row r="476" spans="1:9" ht="15.75" customHeight="1" x14ac:dyDescent="0.25">
      <c r="A476" s="9">
        <v>519927</v>
      </c>
      <c r="B476" s="2" t="s">
        <v>553</v>
      </c>
      <c r="C476" s="22" t="s">
        <v>554</v>
      </c>
      <c r="D476" s="6">
        <v>48</v>
      </c>
      <c r="E476" s="26">
        <v>40412.633333333331</v>
      </c>
      <c r="F476" s="11">
        <v>0.42</v>
      </c>
      <c r="G476" s="9">
        <v>17095</v>
      </c>
      <c r="H476" s="1" t="s">
        <v>9</v>
      </c>
      <c r="I476" s="3">
        <f t="shared" si="7"/>
        <v>20.16</v>
      </c>
    </row>
    <row r="477" spans="1:9" ht="15.75" customHeight="1" x14ac:dyDescent="0.25">
      <c r="A477" s="9">
        <v>515012</v>
      </c>
      <c r="B477" s="2">
        <v>22026</v>
      </c>
      <c r="C477" s="22" t="s">
        <v>555</v>
      </c>
      <c r="D477" s="6">
        <v>12</v>
      </c>
      <c r="E477" s="26">
        <v>40366.676388888889</v>
      </c>
      <c r="F477" s="11">
        <v>0.42</v>
      </c>
      <c r="G477" s="9">
        <v>15581</v>
      </c>
      <c r="H477" s="1" t="s">
        <v>9</v>
      </c>
      <c r="I477" s="3">
        <f t="shared" si="7"/>
        <v>5.04</v>
      </c>
    </row>
    <row r="478" spans="1:9" ht="15.75" customHeight="1" x14ac:dyDescent="0.25">
      <c r="A478" s="9">
        <v>497739</v>
      </c>
      <c r="B478" s="2">
        <v>21171</v>
      </c>
      <c r="C478" s="22" t="s">
        <v>556</v>
      </c>
      <c r="D478" s="6">
        <v>1</v>
      </c>
      <c r="E478" s="26">
        <v>40221.431250000001</v>
      </c>
      <c r="F478" s="11">
        <v>1.45</v>
      </c>
      <c r="G478" s="9">
        <v>14606</v>
      </c>
      <c r="H478" s="1" t="s">
        <v>9</v>
      </c>
      <c r="I478" s="3">
        <f t="shared" si="7"/>
        <v>1.45</v>
      </c>
    </row>
    <row r="479" spans="1:9" ht="15.75" customHeight="1" x14ac:dyDescent="0.25">
      <c r="A479" s="9">
        <v>516273</v>
      </c>
      <c r="B479" s="2" t="s">
        <v>557</v>
      </c>
      <c r="C479" s="22" t="s">
        <v>200</v>
      </c>
      <c r="D479" s="6">
        <v>2</v>
      </c>
      <c r="E479" s="26">
        <v>40378.530555555553</v>
      </c>
      <c r="F479" s="11">
        <v>7.49</v>
      </c>
      <c r="G479" s="9">
        <v>14978</v>
      </c>
      <c r="H479" s="1" t="s">
        <v>9</v>
      </c>
      <c r="I479" s="3">
        <f t="shared" si="7"/>
        <v>14.98</v>
      </c>
    </row>
    <row r="480" spans="1:9" ht="15.75" customHeight="1" x14ac:dyDescent="0.25">
      <c r="A480" s="9">
        <v>495289</v>
      </c>
      <c r="B480" s="2">
        <v>22319</v>
      </c>
      <c r="C480" s="22" t="s">
        <v>558</v>
      </c>
      <c r="D480" s="6">
        <v>12</v>
      </c>
      <c r="E480" s="26">
        <v>40200.525694444441</v>
      </c>
      <c r="F480" s="11">
        <v>0.65</v>
      </c>
      <c r="G480" s="9">
        <v>17519</v>
      </c>
      <c r="H480" s="1" t="s">
        <v>9</v>
      </c>
      <c r="I480" s="3">
        <f t="shared" si="7"/>
        <v>7.8000000000000007</v>
      </c>
    </row>
    <row r="481" spans="1:9" ht="15.75" customHeight="1" x14ac:dyDescent="0.25">
      <c r="A481" s="9">
        <v>535088</v>
      </c>
      <c r="B481" s="2">
        <v>21174</v>
      </c>
      <c r="C481" s="22" t="s">
        <v>521</v>
      </c>
      <c r="D481" s="6">
        <v>12</v>
      </c>
      <c r="E481" s="26">
        <v>40507.420138888891</v>
      </c>
      <c r="F481" s="11">
        <v>1.95</v>
      </c>
      <c r="G481" s="9">
        <v>17167</v>
      </c>
      <c r="H481" s="1" t="s">
        <v>9</v>
      </c>
      <c r="I481" s="3">
        <f t="shared" si="7"/>
        <v>23.4</v>
      </c>
    </row>
    <row r="482" spans="1:9" ht="15.75" customHeight="1" x14ac:dyDescent="0.25">
      <c r="A482" s="9">
        <v>533074</v>
      </c>
      <c r="B482" s="2">
        <v>21814</v>
      </c>
      <c r="C482" s="22" t="s">
        <v>559</v>
      </c>
      <c r="D482" s="6">
        <v>12</v>
      </c>
      <c r="E482" s="26">
        <v>40498.327777777777</v>
      </c>
      <c r="F482" s="11">
        <v>1.25</v>
      </c>
      <c r="G482" s="9">
        <v>14298</v>
      </c>
      <c r="H482" s="1" t="s">
        <v>9</v>
      </c>
      <c r="I482" s="3">
        <f t="shared" si="7"/>
        <v>15</v>
      </c>
    </row>
    <row r="483" spans="1:9" ht="15.75" customHeight="1" x14ac:dyDescent="0.25">
      <c r="A483" s="9" t="s">
        <v>560</v>
      </c>
      <c r="B483" s="2">
        <v>21869</v>
      </c>
      <c r="C483" s="22" t="s">
        <v>561</v>
      </c>
      <c r="D483" s="6">
        <v>3</v>
      </c>
      <c r="E483" s="27" t="s">
        <v>562</v>
      </c>
      <c r="F483" s="11">
        <v>1.25</v>
      </c>
      <c r="G483" s="9">
        <v>16731</v>
      </c>
      <c r="H483" s="1" t="s">
        <v>9</v>
      </c>
      <c r="I483" s="3">
        <f t="shared" si="7"/>
        <v>3.75</v>
      </c>
    </row>
    <row r="484" spans="1:9" ht="15.75" customHeight="1" x14ac:dyDescent="0.25">
      <c r="A484" s="9">
        <v>526510</v>
      </c>
      <c r="B484" s="2">
        <v>21868</v>
      </c>
      <c r="C484" s="22" t="s">
        <v>563</v>
      </c>
      <c r="D484" s="6">
        <v>12</v>
      </c>
      <c r="E484" s="26">
        <v>40463.453472222223</v>
      </c>
      <c r="F484" s="11">
        <v>1.25</v>
      </c>
      <c r="G484" s="9">
        <v>13299</v>
      </c>
      <c r="H484" s="1" t="s">
        <v>9</v>
      </c>
      <c r="I484" s="3">
        <f t="shared" si="7"/>
        <v>15</v>
      </c>
    </row>
    <row r="485" spans="1:9" ht="15.75" customHeight="1" x14ac:dyDescent="0.25">
      <c r="A485" s="9">
        <v>493375</v>
      </c>
      <c r="B485" s="2">
        <v>22303</v>
      </c>
      <c r="C485" s="22" t="s">
        <v>173</v>
      </c>
      <c r="D485" s="6">
        <v>6</v>
      </c>
      <c r="E485" s="26">
        <v>40170.504861111112</v>
      </c>
      <c r="F485" s="11">
        <v>2.5499999999999998</v>
      </c>
      <c r="G485" s="9">
        <v>15514</v>
      </c>
      <c r="H485" s="1" t="s">
        <v>9</v>
      </c>
      <c r="I485" s="3">
        <f t="shared" si="7"/>
        <v>15.299999999999999</v>
      </c>
    </row>
    <row r="486" spans="1:9" ht="15.75" customHeight="1" x14ac:dyDescent="0.25">
      <c r="A486" s="9">
        <v>534465</v>
      </c>
      <c r="B486" s="2">
        <v>22762</v>
      </c>
      <c r="C486" s="22" t="s">
        <v>564</v>
      </c>
      <c r="D486" s="6">
        <v>1</v>
      </c>
      <c r="E486" s="26">
        <v>40505.419444444437</v>
      </c>
      <c r="F486" s="11">
        <v>14.95</v>
      </c>
      <c r="G486" s="9">
        <v>16821</v>
      </c>
      <c r="H486" s="1" t="s">
        <v>9</v>
      </c>
      <c r="I486" s="3">
        <f t="shared" si="7"/>
        <v>14.95</v>
      </c>
    </row>
    <row r="487" spans="1:9" ht="15.75" customHeight="1" x14ac:dyDescent="0.25">
      <c r="A487" s="9">
        <v>513769</v>
      </c>
      <c r="B487" s="2">
        <v>22711</v>
      </c>
      <c r="C487" s="22" t="s">
        <v>565</v>
      </c>
      <c r="D487" s="6">
        <v>25</v>
      </c>
      <c r="E487" s="26">
        <v>40357.572222222218</v>
      </c>
      <c r="F487" s="11">
        <v>0.42</v>
      </c>
      <c r="G487" s="9">
        <v>12701</v>
      </c>
      <c r="H487" s="1" t="s">
        <v>17</v>
      </c>
      <c r="I487" s="3">
        <f t="shared" si="7"/>
        <v>10.5</v>
      </c>
    </row>
    <row r="488" spans="1:9" ht="15.75" customHeight="1" x14ac:dyDescent="0.25">
      <c r="A488" s="9">
        <v>534786</v>
      </c>
      <c r="B488" s="2">
        <v>22113</v>
      </c>
      <c r="C488" s="22" t="s">
        <v>146</v>
      </c>
      <c r="D488" s="6">
        <v>1</v>
      </c>
      <c r="E488" s="26">
        <v>40506.472916666673</v>
      </c>
      <c r="F488" s="11">
        <v>3.75</v>
      </c>
      <c r="G488" s="9">
        <v>15854</v>
      </c>
      <c r="H488" s="1" t="s">
        <v>9</v>
      </c>
      <c r="I488" s="3">
        <f t="shared" si="7"/>
        <v>3.75</v>
      </c>
    </row>
    <row r="489" spans="1:9" ht="15.75" customHeight="1" x14ac:dyDescent="0.25">
      <c r="A489" s="9">
        <v>529981</v>
      </c>
      <c r="B489" s="2">
        <v>22587</v>
      </c>
      <c r="C489" s="22" t="s">
        <v>566</v>
      </c>
      <c r="D489" s="6" t="s">
        <v>330</v>
      </c>
      <c r="E489" s="26">
        <v>40482.646527777782</v>
      </c>
      <c r="F489" s="11">
        <v>0.85</v>
      </c>
      <c r="G489" s="9">
        <v>16686</v>
      </c>
      <c r="H489" s="1" t="s">
        <v>9</v>
      </c>
      <c r="I489" s="3">
        <f t="shared" si="7"/>
        <v>0.85</v>
      </c>
    </row>
    <row r="490" spans="1:9" ht="15.75" customHeight="1" x14ac:dyDescent="0.25">
      <c r="A490" s="9" t="s">
        <v>567</v>
      </c>
      <c r="B490" s="2">
        <v>37503</v>
      </c>
      <c r="C490" s="22" t="s">
        <v>288</v>
      </c>
      <c r="D490" s="6">
        <v>2</v>
      </c>
      <c r="E490" s="26">
        <v>40305.538888888892</v>
      </c>
      <c r="F490" s="11">
        <v>10.75</v>
      </c>
      <c r="G490" s="9">
        <v>13890</v>
      </c>
      <c r="H490" s="1" t="s">
        <v>9</v>
      </c>
      <c r="I490" s="3">
        <f t="shared" si="7"/>
        <v>21.5</v>
      </c>
    </row>
    <row r="491" spans="1:9" ht="15.75" customHeight="1" x14ac:dyDescent="0.25">
      <c r="A491" s="9">
        <v>502633</v>
      </c>
      <c r="B491" s="2">
        <v>37370</v>
      </c>
      <c r="C491" s="22" t="s">
        <v>316</v>
      </c>
      <c r="D491" s="6">
        <v>12</v>
      </c>
      <c r="E491" s="26">
        <v>40262.679861111108</v>
      </c>
      <c r="F491" s="11">
        <v>1.25</v>
      </c>
      <c r="G491" s="9">
        <v>12510</v>
      </c>
      <c r="H491" s="1" t="s">
        <v>568</v>
      </c>
      <c r="I491" s="3">
        <f t="shared" si="7"/>
        <v>15</v>
      </c>
    </row>
    <row r="492" spans="1:9" ht="15.75" customHeight="1" x14ac:dyDescent="0.25">
      <c r="A492" s="9">
        <v>504873</v>
      </c>
      <c r="B492" s="2">
        <v>21676</v>
      </c>
      <c r="C492" s="22" t="s">
        <v>569</v>
      </c>
      <c r="D492" s="6">
        <v>12</v>
      </c>
      <c r="E492" s="26">
        <v>40286.525000000001</v>
      </c>
      <c r="F492" s="11">
        <v>0.85</v>
      </c>
      <c r="G492" s="9">
        <v>14817</v>
      </c>
      <c r="H492" s="1" t="s">
        <v>9</v>
      </c>
      <c r="I492" s="3">
        <f t="shared" si="7"/>
        <v>10.199999999999999</v>
      </c>
    </row>
    <row r="493" spans="1:9" ht="15.75" customHeight="1" x14ac:dyDescent="0.25">
      <c r="A493" s="9">
        <v>510047</v>
      </c>
      <c r="B493" s="2">
        <v>47480</v>
      </c>
      <c r="C493" s="22" t="s">
        <v>570</v>
      </c>
      <c r="D493" s="6">
        <v>96</v>
      </c>
      <c r="E493" s="26">
        <v>40324.720138888893</v>
      </c>
      <c r="F493" s="11">
        <v>1.45</v>
      </c>
      <c r="G493" s="9">
        <v>15856</v>
      </c>
      <c r="H493" s="1" t="s">
        <v>9</v>
      </c>
      <c r="I493" s="3">
        <f t="shared" si="7"/>
        <v>139.19999999999999</v>
      </c>
    </row>
    <row r="494" spans="1:9" ht="15.75" customHeight="1" x14ac:dyDescent="0.25">
      <c r="A494" s="9">
        <v>528642</v>
      </c>
      <c r="B494" s="2">
        <v>22865</v>
      </c>
      <c r="C494" s="22" t="s">
        <v>428</v>
      </c>
      <c r="D494" s="6">
        <v>12</v>
      </c>
      <c r="E494" s="26">
        <v>40475.493055555547</v>
      </c>
      <c r="F494" s="11">
        <v>2.1</v>
      </c>
      <c r="G494" s="9">
        <v>13295</v>
      </c>
      <c r="H494" s="1" t="s">
        <v>9</v>
      </c>
      <c r="I494" s="3">
        <f t="shared" si="7"/>
        <v>25.200000000000003</v>
      </c>
    </row>
    <row r="495" spans="1:9" ht="15.75" customHeight="1" x14ac:dyDescent="0.25">
      <c r="A495" s="9">
        <v>527358</v>
      </c>
      <c r="B495" s="2">
        <v>22795</v>
      </c>
      <c r="C495" s="22" t="s">
        <v>571</v>
      </c>
      <c r="D495" s="6">
        <v>2</v>
      </c>
      <c r="E495" s="26">
        <v>40468.445833333331</v>
      </c>
      <c r="F495" s="11">
        <v>6.75</v>
      </c>
      <c r="G495" s="9">
        <v>16782</v>
      </c>
      <c r="H495" s="1" t="s">
        <v>9</v>
      </c>
      <c r="I495" s="3">
        <f t="shared" si="7"/>
        <v>13.5</v>
      </c>
    </row>
    <row r="496" spans="1:9" ht="15.75" customHeight="1" x14ac:dyDescent="0.25">
      <c r="A496" s="9">
        <v>520885</v>
      </c>
      <c r="B496" s="2">
        <v>22710</v>
      </c>
      <c r="C496" s="22" t="s">
        <v>572</v>
      </c>
      <c r="D496" s="6">
        <v>25</v>
      </c>
      <c r="E496" s="26">
        <v>40421.681250000001</v>
      </c>
      <c r="F496" s="11">
        <v>0.42</v>
      </c>
      <c r="G496" s="9">
        <v>14040</v>
      </c>
      <c r="H496" s="1" t="s">
        <v>9</v>
      </c>
      <c r="I496" s="3">
        <f t="shared" si="7"/>
        <v>10.5</v>
      </c>
    </row>
    <row r="497" spans="1:9" ht="15.75" customHeight="1" x14ac:dyDescent="0.25">
      <c r="A497" s="9">
        <v>499988</v>
      </c>
      <c r="B497" s="2">
        <v>21717</v>
      </c>
      <c r="C497" s="22" t="s">
        <v>573</v>
      </c>
      <c r="D497" s="6">
        <v>24</v>
      </c>
      <c r="E497" s="26">
        <v>40240.681250000001</v>
      </c>
      <c r="F497" s="11">
        <v>2.5499999999999998</v>
      </c>
      <c r="G497" s="9">
        <v>13654</v>
      </c>
      <c r="H497" s="1" t="s">
        <v>9</v>
      </c>
      <c r="I497" s="3">
        <f t="shared" si="7"/>
        <v>61.199999999999996</v>
      </c>
    </row>
    <row r="498" spans="1:9" ht="15.75" customHeight="1" x14ac:dyDescent="0.25">
      <c r="A498" s="9">
        <v>529888</v>
      </c>
      <c r="B498" s="2">
        <v>21915</v>
      </c>
      <c r="C498" s="22" t="s">
        <v>347</v>
      </c>
      <c r="D498" s="6">
        <v>3</v>
      </c>
      <c r="E498" s="26">
        <v>40482.587500000001</v>
      </c>
      <c r="F498" s="11">
        <v>1.25</v>
      </c>
      <c r="G498" s="9">
        <v>16595</v>
      </c>
      <c r="H498" s="1" t="s">
        <v>9</v>
      </c>
      <c r="I498" s="3">
        <f t="shared" si="7"/>
        <v>3.75</v>
      </c>
    </row>
    <row r="499" spans="1:9" ht="15.75" customHeight="1" x14ac:dyDescent="0.25">
      <c r="A499" s="9">
        <v>522424</v>
      </c>
      <c r="B499" s="2">
        <v>21217</v>
      </c>
      <c r="C499" s="22" t="s">
        <v>574</v>
      </c>
      <c r="D499" s="6">
        <v>1</v>
      </c>
      <c r="E499" s="26">
        <v>40435.540277777778</v>
      </c>
      <c r="F499" s="11">
        <v>9.9499999999999993</v>
      </c>
      <c r="G499" s="9">
        <v>12476</v>
      </c>
      <c r="H499" s="1" t="s">
        <v>17</v>
      </c>
      <c r="I499" s="3">
        <f t="shared" si="7"/>
        <v>9.9499999999999993</v>
      </c>
    </row>
    <row r="500" spans="1:9" ht="15.75" customHeight="1" x14ac:dyDescent="0.25">
      <c r="A500" s="9">
        <v>509187</v>
      </c>
      <c r="B500" s="2">
        <v>22644</v>
      </c>
      <c r="C500" s="22" t="s">
        <v>461</v>
      </c>
      <c r="D500" s="6" t="s">
        <v>120</v>
      </c>
      <c r="E500" s="26">
        <v>40318.708333333343</v>
      </c>
      <c r="F500" s="11">
        <v>1.45</v>
      </c>
      <c r="G500" s="9">
        <v>15826</v>
      </c>
      <c r="H500" s="1" t="s">
        <v>9</v>
      </c>
      <c r="I500" s="3">
        <f t="shared" si="7"/>
        <v>17.399999999999999</v>
      </c>
    </row>
    <row r="501" spans="1:9" ht="15.75" customHeight="1" x14ac:dyDescent="0.25">
      <c r="A501" s="9">
        <v>527445</v>
      </c>
      <c r="B501" s="2">
        <v>22367</v>
      </c>
      <c r="C501" s="22" t="s">
        <v>296</v>
      </c>
      <c r="D501" s="6">
        <v>8</v>
      </c>
      <c r="E501" s="26">
        <v>40469.397916666669</v>
      </c>
      <c r="F501" s="11">
        <v>1.95</v>
      </c>
      <c r="G501" s="9">
        <v>14741</v>
      </c>
      <c r="H501" s="1" t="s">
        <v>9</v>
      </c>
      <c r="I501" s="3">
        <f t="shared" si="7"/>
        <v>15.6</v>
      </c>
    </row>
    <row r="502" spans="1:9" ht="15.75" customHeight="1" x14ac:dyDescent="0.25">
      <c r="A502" s="9">
        <v>516922</v>
      </c>
      <c r="B502" s="2">
        <v>37474</v>
      </c>
      <c r="C502" s="22" t="s">
        <v>575</v>
      </c>
      <c r="D502" s="6">
        <v>1</v>
      </c>
      <c r="E502" s="26">
        <v>40384.490277777782</v>
      </c>
      <c r="F502" s="11">
        <v>9.9499999999999993</v>
      </c>
      <c r="G502" s="9">
        <v>15727</v>
      </c>
      <c r="H502" s="1" t="s">
        <v>9</v>
      </c>
      <c r="I502" s="3">
        <f t="shared" si="7"/>
        <v>9.9499999999999993</v>
      </c>
    </row>
    <row r="503" spans="1:9" ht="15.75" customHeight="1" x14ac:dyDescent="0.25">
      <c r="A503" s="9">
        <v>527939</v>
      </c>
      <c r="B503" s="2">
        <v>15036</v>
      </c>
      <c r="C503" s="22" t="s">
        <v>576</v>
      </c>
      <c r="D503" s="6">
        <v>12</v>
      </c>
      <c r="E503" s="26">
        <v>40470.589583333327</v>
      </c>
      <c r="F503" s="11">
        <v>0.75</v>
      </c>
      <c r="G503" s="9">
        <v>14301</v>
      </c>
      <c r="H503" s="1" t="s">
        <v>9</v>
      </c>
      <c r="I503" s="3">
        <f t="shared" si="7"/>
        <v>9</v>
      </c>
    </row>
    <row r="504" spans="1:9" ht="15.75" customHeight="1" x14ac:dyDescent="0.25">
      <c r="A504" s="9">
        <v>510743</v>
      </c>
      <c r="B504" s="2">
        <v>21179</v>
      </c>
      <c r="C504" s="22" t="s">
        <v>194</v>
      </c>
      <c r="D504" s="6">
        <v>12</v>
      </c>
      <c r="E504" s="26">
        <v>40332.520833333343</v>
      </c>
      <c r="F504" s="11">
        <v>1.25</v>
      </c>
      <c r="G504" s="9">
        <v>14911</v>
      </c>
      <c r="H504" s="1" t="s">
        <v>978</v>
      </c>
      <c r="I504" s="3">
        <f t="shared" si="7"/>
        <v>15</v>
      </c>
    </row>
    <row r="505" spans="1:9" ht="15.75" customHeight="1" x14ac:dyDescent="0.25">
      <c r="A505" s="9">
        <v>498757</v>
      </c>
      <c r="B505" s="2">
        <v>20754</v>
      </c>
      <c r="C505" s="22" t="s">
        <v>189</v>
      </c>
      <c r="D505" s="6">
        <v>2</v>
      </c>
      <c r="E505" s="26">
        <v>40231.700694444437</v>
      </c>
      <c r="F505" s="11">
        <v>2.1</v>
      </c>
      <c r="G505" s="9">
        <v>14030</v>
      </c>
      <c r="H505" s="1" t="s">
        <v>9</v>
      </c>
      <c r="I505" s="3">
        <f t="shared" si="7"/>
        <v>4.2</v>
      </c>
    </row>
    <row r="506" spans="1:9" ht="15.75" customHeight="1" x14ac:dyDescent="0.25">
      <c r="A506" s="9">
        <v>508486</v>
      </c>
      <c r="B506" s="2" t="s">
        <v>577</v>
      </c>
      <c r="C506" s="22" t="s">
        <v>578</v>
      </c>
      <c r="D506" s="6">
        <v>12</v>
      </c>
      <c r="E506" s="27" t="s">
        <v>579</v>
      </c>
      <c r="F506" s="11">
        <v>0.85</v>
      </c>
      <c r="G506" s="9">
        <v>16456</v>
      </c>
      <c r="H506" s="1" t="s">
        <v>9</v>
      </c>
      <c r="I506" s="3">
        <f t="shared" si="7"/>
        <v>10.199999999999999</v>
      </c>
    </row>
    <row r="507" spans="1:9" ht="15.75" customHeight="1" x14ac:dyDescent="0.25">
      <c r="A507" s="9">
        <v>538064</v>
      </c>
      <c r="B507" s="2" t="s">
        <v>580</v>
      </c>
      <c r="C507" s="22" t="s">
        <v>581</v>
      </c>
      <c r="D507" s="6">
        <v>1</v>
      </c>
      <c r="E507" s="26">
        <v>40521.574305555558</v>
      </c>
      <c r="F507" s="11">
        <v>1.25</v>
      </c>
      <c r="G507" s="9">
        <v>15271</v>
      </c>
      <c r="H507" s="1" t="s">
        <v>9</v>
      </c>
      <c r="I507" s="3">
        <f t="shared" si="7"/>
        <v>1.25</v>
      </c>
    </row>
    <row r="508" spans="1:9" ht="15.75" customHeight="1" x14ac:dyDescent="0.25">
      <c r="A508" s="9">
        <v>529843</v>
      </c>
      <c r="B508" s="2">
        <v>21051</v>
      </c>
      <c r="C508" s="22" t="s">
        <v>582</v>
      </c>
      <c r="D508" s="6">
        <v>2</v>
      </c>
      <c r="E508" s="26">
        <v>40482.538888888892</v>
      </c>
      <c r="F508" s="11">
        <v>2.1</v>
      </c>
      <c r="G508" s="9">
        <v>16065</v>
      </c>
      <c r="H508" s="1" t="s">
        <v>9</v>
      </c>
      <c r="I508" s="3">
        <f t="shared" si="7"/>
        <v>4.2</v>
      </c>
    </row>
    <row r="509" spans="1:9" ht="15.75" customHeight="1" x14ac:dyDescent="0.25">
      <c r="A509" s="9">
        <v>512400</v>
      </c>
      <c r="B509" s="2">
        <v>21934</v>
      </c>
      <c r="C509" s="22" t="s">
        <v>474</v>
      </c>
      <c r="D509" s="6">
        <v>10</v>
      </c>
      <c r="E509" s="26">
        <v>40344.524305555547</v>
      </c>
      <c r="F509" s="11">
        <v>1.65</v>
      </c>
      <c r="G509" s="9">
        <v>13297</v>
      </c>
      <c r="H509" s="1" t="s">
        <v>9</v>
      </c>
      <c r="I509" s="3">
        <f t="shared" si="7"/>
        <v>16.5</v>
      </c>
    </row>
    <row r="510" spans="1:9" ht="15.75" customHeight="1" x14ac:dyDescent="0.25">
      <c r="A510" s="9">
        <v>490674</v>
      </c>
      <c r="B510" s="2" t="s">
        <v>584</v>
      </c>
      <c r="C510" s="22" t="s">
        <v>585</v>
      </c>
      <c r="D510" s="6">
        <v>2</v>
      </c>
      <c r="E510" s="26">
        <v>40154.54583333333</v>
      </c>
      <c r="F510" s="11">
        <v>12.75</v>
      </c>
      <c r="G510" s="9">
        <v>14307</v>
      </c>
      <c r="H510" s="1" t="s">
        <v>9</v>
      </c>
      <c r="I510" s="3">
        <f t="shared" si="7"/>
        <v>25.5</v>
      </c>
    </row>
    <row r="511" spans="1:9" ht="15.75" customHeight="1" x14ac:dyDescent="0.25">
      <c r="A511" s="9">
        <v>508079</v>
      </c>
      <c r="B511" s="2">
        <v>22435</v>
      </c>
      <c r="C511" s="22" t="s">
        <v>107</v>
      </c>
      <c r="D511" s="6">
        <v>10</v>
      </c>
      <c r="E511" s="26">
        <v>40310.695833333331</v>
      </c>
      <c r="F511" s="11">
        <v>1.25</v>
      </c>
      <c r="G511" s="9">
        <v>17092</v>
      </c>
      <c r="H511" s="1" t="s">
        <v>9</v>
      </c>
      <c r="I511" s="3">
        <f t="shared" si="7"/>
        <v>12.5</v>
      </c>
    </row>
    <row r="512" spans="1:9" ht="15.75" customHeight="1" x14ac:dyDescent="0.25">
      <c r="A512" s="9" t="s">
        <v>586</v>
      </c>
      <c r="B512" s="2">
        <v>20713</v>
      </c>
      <c r="C512" s="22" t="s">
        <v>587</v>
      </c>
      <c r="D512" s="6">
        <v>10</v>
      </c>
      <c r="E512" s="27" t="s">
        <v>588</v>
      </c>
      <c r="F512" s="11">
        <v>1.95</v>
      </c>
      <c r="G512" s="9">
        <v>15750</v>
      </c>
      <c r="H512" s="1" t="s">
        <v>9</v>
      </c>
      <c r="I512" s="3">
        <f t="shared" si="7"/>
        <v>19.5</v>
      </c>
    </row>
    <row r="513" spans="1:9" ht="15.75" customHeight="1" x14ac:dyDescent="0.25">
      <c r="A513" s="9">
        <v>494798</v>
      </c>
      <c r="B513" s="2">
        <v>22218</v>
      </c>
      <c r="C513" s="22" t="s">
        <v>589</v>
      </c>
      <c r="D513" s="6">
        <v>1</v>
      </c>
      <c r="E513" s="26">
        <v>40196.605555555558</v>
      </c>
      <c r="F513" s="11">
        <v>4.25</v>
      </c>
      <c r="G513" s="9">
        <v>17773</v>
      </c>
      <c r="H513" s="1" t="s">
        <v>9</v>
      </c>
      <c r="I513" s="3">
        <f t="shared" si="7"/>
        <v>4.25</v>
      </c>
    </row>
    <row r="514" spans="1:9" ht="15.75" customHeight="1" x14ac:dyDescent="0.25">
      <c r="A514" s="9">
        <v>490072</v>
      </c>
      <c r="B514" s="2">
        <v>22297</v>
      </c>
      <c r="C514" s="22" t="s">
        <v>581</v>
      </c>
      <c r="D514" s="6">
        <v>3</v>
      </c>
      <c r="E514" s="26">
        <v>40150.602777777778</v>
      </c>
      <c r="F514" s="11">
        <v>1.25</v>
      </c>
      <c r="G514" s="9">
        <v>17764</v>
      </c>
      <c r="H514" s="1" t="s">
        <v>9</v>
      </c>
      <c r="I514" s="3">
        <f t="shared" ref="I514:I577" si="8">(D514 *F514)</f>
        <v>3.75</v>
      </c>
    </row>
    <row r="515" spans="1:9" ht="15.75" customHeight="1" x14ac:dyDescent="0.25">
      <c r="A515" s="9">
        <v>500362</v>
      </c>
      <c r="B515" s="2" t="s">
        <v>232</v>
      </c>
      <c r="C515" s="22" t="s">
        <v>590</v>
      </c>
      <c r="D515" s="6">
        <v>4</v>
      </c>
      <c r="E515" s="26">
        <v>40244.675000000003</v>
      </c>
      <c r="F515" s="11">
        <v>2.95</v>
      </c>
      <c r="G515" s="9">
        <v>17449</v>
      </c>
      <c r="H515" s="1" t="s">
        <v>9</v>
      </c>
      <c r="I515" s="3">
        <f t="shared" si="8"/>
        <v>11.8</v>
      </c>
    </row>
    <row r="516" spans="1:9" ht="15.75" customHeight="1" x14ac:dyDescent="0.25">
      <c r="A516" s="9">
        <v>508251</v>
      </c>
      <c r="B516" s="2">
        <v>21731</v>
      </c>
      <c r="C516" s="22" t="s">
        <v>96</v>
      </c>
      <c r="D516" s="6">
        <v>12</v>
      </c>
      <c r="E516" s="26">
        <v>40312.444444444453</v>
      </c>
      <c r="F516" s="11">
        <v>1.65</v>
      </c>
      <c r="G516" s="9">
        <v>13157</v>
      </c>
      <c r="H516" s="1" t="s">
        <v>9</v>
      </c>
      <c r="I516" s="3">
        <f t="shared" si="8"/>
        <v>19.799999999999997</v>
      </c>
    </row>
    <row r="517" spans="1:9" ht="15.75" customHeight="1" x14ac:dyDescent="0.25">
      <c r="A517" s="9">
        <v>518561</v>
      </c>
      <c r="B517" s="2">
        <v>21106</v>
      </c>
      <c r="C517" s="22" t="s">
        <v>591</v>
      </c>
      <c r="D517" s="6">
        <v>6</v>
      </c>
      <c r="E517" s="26">
        <v>40400.431944444441</v>
      </c>
      <c r="F517" s="11">
        <v>2.95</v>
      </c>
      <c r="G517" s="9">
        <v>17023</v>
      </c>
      <c r="H517" s="1" t="s">
        <v>9</v>
      </c>
      <c r="I517" s="3">
        <f t="shared" si="8"/>
        <v>17.700000000000003</v>
      </c>
    </row>
    <row r="518" spans="1:9" ht="15.75" customHeight="1" x14ac:dyDescent="0.25">
      <c r="A518" s="9">
        <v>516872</v>
      </c>
      <c r="B518" s="2">
        <v>48111</v>
      </c>
      <c r="C518" s="22" t="s">
        <v>200</v>
      </c>
      <c r="D518" s="6">
        <v>2</v>
      </c>
      <c r="E518" s="26">
        <v>40382.540972222218</v>
      </c>
      <c r="F518" s="11">
        <v>7.49</v>
      </c>
      <c r="G518" s="9">
        <v>13874</v>
      </c>
      <c r="H518" s="1" t="s">
        <v>9</v>
      </c>
      <c r="I518" s="3">
        <f t="shared" si="8"/>
        <v>14.98</v>
      </c>
    </row>
    <row r="519" spans="1:9" ht="15.75" customHeight="1" x14ac:dyDescent="0.25">
      <c r="A519" s="9">
        <v>512602</v>
      </c>
      <c r="B519" s="2">
        <v>21260</v>
      </c>
      <c r="C519" s="22" t="s">
        <v>202</v>
      </c>
      <c r="D519" s="6">
        <v>6</v>
      </c>
      <c r="E519" s="26">
        <v>40346.347222222219</v>
      </c>
      <c r="F519" s="11">
        <v>3.25</v>
      </c>
      <c r="G519" s="9">
        <v>16492</v>
      </c>
      <c r="H519" s="1" t="s">
        <v>9</v>
      </c>
      <c r="I519" s="3">
        <f t="shared" si="8"/>
        <v>19.5</v>
      </c>
    </row>
    <row r="520" spans="1:9" ht="15.75" customHeight="1" x14ac:dyDescent="0.25">
      <c r="A520" s="9">
        <v>511844</v>
      </c>
      <c r="B520" s="2">
        <v>22468</v>
      </c>
      <c r="C520" s="22" t="s">
        <v>592</v>
      </c>
      <c r="D520" s="6">
        <v>4</v>
      </c>
      <c r="E520" s="26">
        <v>40339.774305555547</v>
      </c>
      <c r="F520" s="11">
        <v>6.75</v>
      </c>
      <c r="G520" s="9">
        <v>16679</v>
      </c>
      <c r="H520" s="1" t="s">
        <v>9</v>
      </c>
      <c r="I520" s="3">
        <f t="shared" si="8"/>
        <v>27</v>
      </c>
    </row>
    <row r="521" spans="1:9" ht="15.75" customHeight="1" x14ac:dyDescent="0.25">
      <c r="A521" s="9">
        <v>522463</v>
      </c>
      <c r="B521" s="2">
        <v>20718</v>
      </c>
      <c r="C521" s="22" t="s">
        <v>593</v>
      </c>
      <c r="D521" s="6">
        <v>1</v>
      </c>
      <c r="E521" s="26">
        <v>40435.717361111107</v>
      </c>
      <c r="F521" s="11">
        <v>1.25</v>
      </c>
      <c r="G521" s="9">
        <v>14710</v>
      </c>
      <c r="H521" s="1" t="s">
        <v>9</v>
      </c>
      <c r="I521" s="3">
        <f t="shared" si="8"/>
        <v>1.25</v>
      </c>
    </row>
    <row r="522" spans="1:9" ht="15.75" customHeight="1" x14ac:dyDescent="0.25">
      <c r="A522" s="9">
        <v>506400</v>
      </c>
      <c r="B522" s="2" t="s">
        <v>594</v>
      </c>
      <c r="C522" s="22" t="s">
        <v>595</v>
      </c>
      <c r="D522" s="6">
        <v>10</v>
      </c>
      <c r="E522" s="26">
        <v>40297.565972222219</v>
      </c>
      <c r="F522" s="11">
        <v>1.95</v>
      </c>
      <c r="G522" s="9">
        <v>15954</v>
      </c>
      <c r="H522" s="1" t="s">
        <v>9</v>
      </c>
      <c r="I522" s="3">
        <f t="shared" si="8"/>
        <v>19.5</v>
      </c>
    </row>
    <row r="523" spans="1:9" ht="15.75" customHeight="1" x14ac:dyDescent="0.25">
      <c r="A523" s="9">
        <v>528615</v>
      </c>
      <c r="B523" s="2">
        <v>22736</v>
      </c>
      <c r="C523" s="22" t="s">
        <v>596</v>
      </c>
      <c r="D523" s="6">
        <v>1</v>
      </c>
      <c r="E523" s="26">
        <v>40473.691666666673</v>
      </c>
      <c r="F523" s="11">
        <v>1.65</v>
      </c>
      <c r="G523" s="9">
        <v>17231</v>
      </c>
      <c r="H523" s="1" t="s">
        <v>9</v>
      </c>
      <c r="I523" s="3">
        <f t="shared" si="8"/>
        <v>1.65</v>
      </c>
    </row>
    <row r="524" spans="1:9" ht="15.75" customHeight="1" x14ac:dyDescent="0.25">
      <c r="A524" s="9">
        <v>536038</v>
      </c>
      <c r="B524" s="2">
        <v>85178</v>
      </c>
      <c r="C524" s="22" t="s">
        <v>597</v>
      </c>
      <c r="D524" s="6">
        <v>3</v>
      </c>
      <c r="E524" s="26">
        <v>40511.71597222222</v>
      </c>
      <c r="F524" s="11">
        <v>1.25</v>
      </c>
      <c r="G524" s="9">
        <v>14130</v>
      </c>
      <c r="H524" s="1" t="s">
        <v>9</v>
      </c>
      <c r="I524" s="3">
        <f t="shared" si="8"/>
        <v>3.75</v>
      </c>
    </row>
    <row r="525" spans="1:9" ht="15.75" customHeight="1" x14ac:dyDescent="0.25">
      <c r="A525" s="9">
        <v>500844</v>
      </c>
      <c r="B525" s="2">
        <v>22286</v>
      </c>
      <c r="C525" s="22" t="s">
        <v>598</v>
      </c>
      <c r="D525" s="6">
        <v>2</v>
      </c>
      <c r="E525" s="26">
        <v>40247.511111111111</v>
      </c>
      <c r="F525" s="11">
        <v>1.65</v>
      </c>
      <c r="G525" s="9">
        <v>13413</v>
      </c>
      <c r="H525" s="1" t="s">
        <v>9</v>
      </c>
      <c r="I525" s="3">
        <f t="shared" si="8"/>
        <v>3.3</v>
      </c>
    </row>
    <row r="526" spans="1:9" ht="15.75" customHeight="1" x14ac:dyDescent="0.25">
      <c r="A526" s="9">
        <v>501133</v>
      </c>
      <c r="B526" s="2">
        <v>22236</v>
      </c>
      <c r="C526" s="22" t="s">
        <v>599</v>
      </c>
      <c r="D526" s="6">
        <v>2</v>
      </c>
      <c r="E526" s="26">
        <v>40251.423611111109</v>
      </c>
      <c r="F526" s="11">
        <v>12.75</v>
      </c>
      <c r="G526" s="9">
        <v>17920</v>
      </c>
      <c r="H526" s="1" t="s">
        <v>9</v>
      </c>
      <c r="I526" s="3">
        <f t="shared" si="8"/>
        <v>25.5</v>
      </c>
    </row>
    <row r="527" spans="1:9" ht="15.75" customHeight="1" x14ac:dyDescent="0.25">
      <c r="A527" s="9">
        <v>531947</v>
      </c>
      <c r="B527" s="2">
        <v>21463</v>
      </c>
      <c r="C527" s="22" t="s">
        <v>600</v>
      </c>
      <c r="D527" s="6">
        <v>4</v>
      </c>
      <c r="E527" s="26">
        <v>40492.511111111111</v>
      </c>
      <c r="F527" s="11">
        <v>5.95</v>
      </c>
      <c r="G527" s="9">
        <v>14390</v>
      </c>
      <c r="H527" s="1" t="s">
        <v>9</v>
      </c>
      <c r="I527" s="3">
        <f t="shared" si="8"/>
        <v>23.8</v>
      </c>
    </row>
    <row r="528" spans="1:9" ht="15.75" customHeight="1" x14ac:dyDescent="0.25">
      <c r="A528" s="9">
        <v>530085</v>
      </c>
      <c r="B528" s="2">
        <v>22577</v>
      </c>
      <c r="C528" s="22" t="s">
        <v>601</v>
      </c>
      <c r="D528" s="6">
        <v>1</v>
      </c>
      <c r="E528" s="26">
        <v>40483.55972222222</v>
      </c>
      <c r="F528" s="11">
        <v>0.85</v>
      </c>
      <c r="G528" s="9">
        <v>17315</v>
      </c>
      <c r="H528" s="1" t="s">
        <v>9</v>
      </c>
      <c r="I528" s="3">
        <f t="shared" si="8"/>
        <v>0.85</v>
      </c>
    </row>
    <row r="529" spans="1:9" ht="15.75" customHeight="1" x14ac:dyDescent="0.25">
      <c r="A529" s="9">
        <v>502617</v>
      </c>
      <c r="B529" s="2" t="s">
        <v>602</v>
      </c>
      <c r="C529" s="22" t="s">
        <v>603</v>
      </c>
      <c r="D529" s="6">
        <v>4</v>
      </c>
      <c r="E529" s="26">
        <v>40262.61041666667</v>
      </c>
      <c r="F529" s="11">
        <v>3.75</v>
      </c>
      <c r="G529" s="9">
        <v>15027</v>
      </c>
      <c r="H529" s="1" t="s">
        <v>9</v>
      </c>
      <c r="I529" s="3">
        <f t="shared" si="8"/>
        <v>15</v>
      </c>
    </row>
    <row r="530" spans="1:9" ht="15.75" customHeight="1" x14ac:dyDescent="0.25">
      <c r="A530" s="9">
        <v>536974</v>
      </c>
      <c r="B530" s="2" t="s">
        <v>604</v>
      </c>
      <c r="C530" s="22" t="s">
        <v>134</v>
      </c>
      <c r="D530" s="6">
        <v>2</v>
      </c>
      <c r="E530" s="26">
        <v>40515.582638888889</v>
      </c>
      <c r="F530" s="11">
        <v>7.95</v>
      </c>
      <c r="G530" s="9">
        <v>12682</v>
      </c>
      <c r="H530" s="1" t="s">
        <v>28</v>
      </c>
      <c r="I530" s="3">
        <f t="shared" si="8"/>
        <v>15.9</v>
      </c>
    </row>
    <row r="531" spans="1:9" ht="15.75" customHeight="1" x14ac:dyDescent="0.25">
      <c r="A531" s="9">
        <v>491633</v>
      </c>
      <c r="B531" s="2">
        <v>84987</v>
      </c>
      <c r="C531" s="22" t="s">
        <v>605</v>
      </c>
      <c r="D531" s="6">
        <v>2</v>
      </c>
      <c r="E531" s="26">
        <v>40158.650694444441</v>
      </c>
      <c r="F531" s="11">
        <v>1.45</v>
      </c>
      <c r="G531" s="9">
        <v>17958</v>
      </c>
      <c r="H531" s="1" t="s">
        <v>9</v>
      </c>
      <c r="I531" s="3">
        <f t="shared" si="8"/>
        <v>2.9</v>
      </c>
    </row>
    <row r="532" spans="1:9" ht="15.75" customHeight="1" x14ac:dyDescent="0.25">
      <c r="A532" s="9">
        <v>519005</v>
      </c>
      <c r="B532" s="2" t="s">
        <v>606</v>
      </c>
      <c r="C532" s="22" t="s">
        <v>607</v>
      </c>
      <c r="D532" s="6">
        <v>1</v>
      </c>
      <c r="E532" s="26">
        <v>40402.804166666669</v>
      </c>
      <c r="F532" s="11">
        <v>1.69</v>
      </c>
      <c r="G532" s="9">
        <v>16549</v>
      </c>
      <c r="H532" s="1" t="s">
        <v>9</v>
      </c>
      <c r="I532" s="3">
        <f t="shared" si="8"/>
        <v>1.69</v>
      </c>
    </row>
    <row r="533" spans="1:9" ht="15.75" customHeight="1" x14ac:dyDescent="0.25">
      <c r="A533" s="9">
        <v>519371</v>
      </c>
      <c r="B533" s="2">
        <v>22371</v>
      </c>
      <c r="C533" s="22" t="s">
        <v>608</v>
      </c>
      <c r="D533" s="6">
        <v>1</v>
      </c>
      <c r="E533" s="26">
        <v>40406.550000000003</v>
      </c>
      <c r="F533" s="11">
        <v>6.35</v>
      </c>
      <c r="G533" s="9">
        <v>14606</v>
      </c>
      <c r="H533" s="1" t="s">
        <v>9</v>
      </c>
      <c r="I533" s="3">
        <f t="shared" si="8"/>
        <v>6.35</v>
      </c>
    </row>
    <row r="534" spans="1:9" ht="15.75" customHeight="1" x14ac:dyDescent="0.25">
      <c r="A534" s="9">
        <v>529826</v>
      </c>
      <c r="B534" s="2">
        <v>22968</v>
      </c>
      <c r="C534" s="22" t="s">
        <v>610</v>
      </c>
      <c r="D534" s="6">
        <v>2</v>
      </c>
      <c r="E534" s="26">
        <v>40482.488194444442</v>
      </c>
      <c r="F534" s="11">
        <v>9.9499999999999993</v>
      </c>
      <c r="G534" s="9">
        <v>15351</v>
      </c>
      <c r="H534" s="1" t="s">
        <v>9</v>
      </c>
      <c r="I534" s="3">
        <f t="shared" si="8"/>
        <v>19.899999999999999</v>
      </c>
    </row>
    <row r="535" spans="1:9" ht="15.75" customHeight="1" x14ac:dyDescent="0.25">
      <c r="A535" s="9">
        <v>534718</v>
      </c>
      <c r="B535" s="2">
        <v>21755</v>
      </c>
      <c r="C535" s="22" t="s">
        <v>360</v>
      </c>
      <c r="D535" s="6">
        <v>3</v>
      </c>
      <c r="E535" s="26">
        <v>40505.741666666669</v>
      </c>
      <c r="F535" s="11">
        <v>5.95</v>
      </c>
      <c r="G535" s="9" t="s">
        <v>611</v>
      </c>
      <c r="H535" s="1" t="s">
        <v>9</v>
      </c>
      <c r="I535" s="3">
        <f t="shared" si="8"/>
        <v>17.850000000000001</v>
      </c>
    </row>
    <row r="536" spans="1:9" ht="15.75" customHeight="1" x14ac:dyDescent="0.25">
      <c r="A536" s="9">
        <v>500220</v>
      </c>
      <c r="B536" s="2">
        <v>21977</v>
      </c>
      <c r="C536" s="22" t="s">
        <v>612</v>
      </c>
      <c r="D536" s="6">
        <v>2</v>
      </c>
      <c r="E536" s="26">
        <v>40242.469444444447</v>
      </c>
      <c r="F536" s="11">
        <v>0.55000000000000004</v>
      </c>
      <c r="G536" s="9">
        <v>14896</v>
      </c>
      <c r="H536" s="1" t="s">
        <v>9</v>
      </c>
      <c r="I536" s="3">
        <f t="shared" si="8"/>
        <v>1.1000000000000001</v>
      </c>
    </row>
    <row r="537" spans="1:9" ht="15.75" customHeight="1" x14ac:dyDescent="0.25">
      <c r="A537" s="9">
        <v>489439</v>
      </c>
      <c r="B537" s="2" t="s">
        <v>613</v>
      </c>
      <c r="C537" s="22" t="s">
        <v>219</v>
      </c>
      <c r="D537" s="6">
        <v>12</v>
      </c>
      <c r="E537" s="26">
        <v>40148.394444444442</v>
      </c>
      <c r="F537" s="11">
        <v>0.65</v>
      </c>
      <c r="G537" s="9">
        <v>12682</v>
      </c>
      <c r="H537" s="1" t="s">
        <v>28</v>
      </c>
      <c r="I537" s="3">
        <f t="shared" si="8"/>
        <v>7.8000000000000007</v>
      </c>
    </row>
    <row r="538" spans="1:9" ht="15.75" customHeight="1" x14ac:dyDescent="0.25">
      <c r="A538" s="9">
        <v>513108</v>
      </c>
      <c r="B538" s="2" t="s">
        <v>614</v>
      </c>
      <c r="C538" s="22" t="s">
        <v>615</v>
      </c>
      <c r="D538" s="6">
        <v>24</v>
      </c>
      <c r="E538" s="26">
        <v>40350.669444444437</v>
      </c>
      <c r="F538" s="11">
        <v>1.69</v>
      </c>
      <c r="G538" s="9">
        <v>14204</v>
      </c>
      <c r="H538" s="1" t="s">
        <v>9</v>
      </c>
      <c r="I538" s="3">
        <f t="shared" si="8"/>
        <v>40.56</v>
      </c>
    </row>
    <row r="539" spans="1:9" ht="15.75" customHeight="1" x14ac:dyDescent="0.25">
      <c r="A539" s="9">
        <v>499972</v>
      </c>
      <c r="B539" s="2" t="s">
        <v>616</v>
      </c>
      <c r="C539" s="22" t="s">
        <v>617</v>
      </c>
      <c r="D539" s="6">
        <v>1</v>
      </c>
      <c r="E539" s="26">
        <v>40240.604861111111</v>
      </c>
      <c r="F539" s="11">
        <v>1.45</v>
      </c>
      <c r="G539" s="9">
        <v>13680</v>
      </c>
      <c r="H539" s="1" t="s">
        <v>9</v>
      </c>
      <c r="I539" s="3">
        <f t="shared" si="8"/>
        <v>1.45</v>
      </c>
    </row>
    <row r="540" spans="1:9" ht="15.75" customHeight="1" x14ac:dyDescent="0.25">
      <c r="A540" s="9">
        <v>506442</v>
      </c>
      <c r="B540" s="2">
        <v>22476</v>
      </c>
      <c r="C540" s="22" t="s">
        <v>618</v>
      </c>
      <c r="D540" s="6">
        <v>2</v>
      </c>
      <c r="E540" s="26">
        <v>40297.697916666657</v>
      </c>
      <c r="F540" s="11">
        <v>4.95</v>
      </c>
      <c r="G540" s="9">
        <v>16520</v>
      </c>
      <c r="H540" s="1" t="s">
        <v>9</v>
      </c>
      <c r="I540" s="3">
        <f t="shared" si="8"/>
        <v>9.9</v>
      </c>
    </row>
    <row r="541" spans="1:9" ht="15.75" customHeight="1" x14ac:dyDescent="0.25">
      <c r="A541" s="9">
        <v>523005</v>
      </c>
      <c r="B541" s="2">
        <v>37509</v>
      </c>
      <c r="C541" s="22" t="s">
        <v>619</v>
      </c>
      <c r="D541" s="6">
        <v>2</v>
      </c>
      <c r="E541" s="26">
        <v>40440.680555555547</v>
      </c>
      <c r="F541" s="11">
        <v>2.5499999999999998</v>
      </c>
      <c r="G541" s="9">
        <v>12748</v>
      </c>
      <c r="H541" s="1" t="s">
        <v>9</v>
      </c>
      <c r="I541" s="3">
        <f t="shared" si="8"/>
        <v>5.0999999999999996</v>
      </c>
    </row>
    <row r="542" spans="1:9" ht="15.75" customHeight="1" x14ac:dyDescent="0.25">
      <c r="A542" s="9">
        <v>490707</v>
      </c>
      <c r="B542" s="2">
        <v>21875</v>
      </c>
      <c r="C542" s="22" t="s">
        <v>620</v>
      </c>
      <c r="D542" s="6">
        <v>1</v>
      </c>
      <c r="E542" s="26">
        <v>40154.626388888893</v>
      </c>
      <c r="F542" s="11">
        <v>1.25</v>
      </c>
      <c r="G542" s="9">
        <v>17865</v>
      </c>
      <c r="H542" s="1" t="s">
        <v>9</v>
      </c>
      <c r="I542" s="3">
        <f t="shared" si="8"/>
        <v>1.25</v>
      </c>
    </row>
    <row r="543" spans="1:9" ht="15.75" customHeight="1" x14ac:dyDescent="0.25">
      <c r="A543" s="9">
        <v>498401</v>
      </c>
      <c r="B543" s="2">
        <v>22329</v>
      </c>
      <c r="C543" s="22" t="s">
        <v>621</v>
      </c>
      <c r="D543" s="6">
        <v>12</v>
      </c>
      <c r="E543" s="26">
        <v>40227.655555555553</v>
      </c>
      <c r="F543" s="11">
        <v>1.65</v>
      </c>
      <c r="G543" s="9">
        <v>17469</v>
      </c>
      <c r="H543" s="1" t="s">
        <v>9</v>
      </c>
      <c r="I543" s="3">
        <f t="shared" si="8"/>
        <v>19.799999999999997</v>
      </c>
    </row>
    <row r="544" spans="1:9" ht="15.75" customHeight="1" x14ac:dyDescent="0.25">
      <c r="A544" s="9" t="s">
        <v>622</v>
      </c>
      <c r="B544" s="2">
        <v>82578</v>
      </c>
      <c r="C544" s="22" t="s">
        <v>623</v>
      </c>
      <c r="D544" s="6">
        <v>-1</v>
      </c>
      <c r="E544" s="26">
        <v>40377.452777777777</v>
      </c>
      <c r="F544" s="11">
        <v>0.55000000000000004</v>
      </c>
      <c r="G544" s="9">
        <v>13798</v>
      </c>
      <c r="H544" s="1" t="s">
        <v>9</v>
      </c>
      <c r="I544" s="3">
        <f t="shared" si="8"/>
        <v>-0.55000000000000004</v>
      </c>
    </row>
    <row r="545" spans="1:9" ht="15.75" customHeight="1" x14ac:dyDescent="0.25">
      <c r="A545" s="9">
        <v>517097</v>
      </c>
      <c r="B545" s="2">
        <v>22188</v>
      </c>
      <c r="C545" s="22" t="s">
        <v>505</v>
      </c>
      <c r="D545" s="6">
        <v>4</v>
      </c>
      <c r="E545" s="26">
        <v>40385.630555555559</v>
      </c>
      <c r="F545" s="11" t="s">
        <v>624</v>
      </c>
      <c r="G545" s="9">
        <v>17612</v>
      </c>
      <c r="H545" s="1" t="s">
        <v>9</v>
      </c>
      <c r="I545" s="3">
        <f t="shared" si="8"/>
        <v>15.8</v>
      </c>
    </row>
    <row r="546" spans="1:9" ht="15.75" customHeight="1" x14ac:dyDescent="0.25">
      <c r="A546" s="9">
        <v>537059</v>
      </c>
      <c r="B546" s="2">
        <v>22451</v>
      </c>
      <c r="C546" s="22" t="s">
        <v>625</v>
      </c>
      <c r="D546" s="6">
        <v>2</v>
      </c>
      <c r="E546" s="26">
        <v>40517.495833333327</v>
      </c>
      <c r="F546" s="11">
        <v>3.35</v>
      </c>
      <c r="G546" s="9">
        <v>14813</v>
      </c>
      <c r="H546" s="1" t="s">
        <v>9</v>
      </c>
      <c r="I546" s="3">
        <f t="shared" si="8"/>
        <v>6.7</v>
      </c>
    </row>
    <row r="547" spans="1:9" ht="15.75" customHeight="1" x14ac:dyDescent="0.25">
      <c r="A547" s="9">
        <v>499168</v>
      </c>
      <c r="B547" s="2">
        <v>47502</v>
      </c>
      <c r="C547" s="22" t="s">
        <v>626</v>
      </c>
      <c r="D547" s="6">
        <v>10</v>
      </c>
      <c r="E547" s="26">
        <v>40234.397916666669</v>
      </c>
      <c r="F547" s="11">
        <v>9.9499999999999993</v>
      </c>
      <c r="G547" s="9">
        <v>16029</v>
      </c>
      <c r="H547" s="1" t="s">
        <v>9</v>
      </c>
      <c r="I547" s="3">
        <f t="shared" si="8"/>
        <v>99.5</v>
      </c>
    </row>
    <row r="548" spans="1:9" ht="15.75" customHeight="1" x14ac:dyDescent="0.25">
      <c r="A548" s="9">
        <v>510483</v>
      </c>
      <c r="B548" s="2">
        <v>22545</v>
      </c>
      <c r="C548" s="22" t="s">
        <v>627</v>
      </c>
      <c r="D548" s="6">
        <v>7</v>
      </c>
      <c r="E548" s="26">
        <v>40330.477083333331</v>
      </c>
      <c r="F548" s="11">
        <v>0.42</v>
      </c>
      <c r="G548" s="9">
        <v>16960</v>
      </c>
      <c r="H548" s="1" t="s">
        <v>9</v>
      </c>
      <c r="I548" s="3">
        <f t="shared" si="8"/>
        <v>2.94</v>
      </c>
    </row>
    <row r="549" spans="1:9" ht="15.75" customHeight="1" x14ac:dyDescent="0.25">
      <c r="A549" s="9">
        <v>511066</v>
      </c>
      <c r="B549" s="2">
        <v>22179</v>
      </c>
      <c r="C549" s="22" t="s">
        <v>628</v>
      </c>
      <c r="D549" s="6">
        <v>2</v>
      </c>
      <c r="E549" s="26">
        <v>40335.540972222218</v>
      </c>
      <c r="F549" s="11">
        <v>6.75</v>
      </c>
      <c r="G549" s="9">
        <v>13109</v>
      </c>
      <c r="H549" s="1" t="s">
        <v>9</v>
      </c>
      <c r="I549" s="3">
        <f t="shared" si="8"/>
        <v>13.5</v>
      </c>
    </row>
    <row r="550" spans="1:9" ht="15.75" customHeight="1" x14ac:dyDescent="0.25">
      <c r="A550" s="9">
        <v>517978</v>
      </c>
      <c r="B550" s="2">
        <v>21774</v>
      </c>
      <c r="C550" s="22" t="s">
        <v>629</v>
      </c>
      <c r="D550" s="6">
        <v>12</v>
      </c>
      <c r="E550" s="26">
        <v>40393.609722222223</v>
      </c>
      <c r="F550" s="11">
        <v>1.25</v>
      </c>
      <c r="G550" s="9">
        <v>16316</v>
      </c>
      <c r="H550" s="1" t="s">
        <v>9</v>
      </c>
      <c r="I550" s="3">
        <f t="shared" si="8"/>
        <v>15</v>
      </c>
    </row>
    <row r="551" spans="1:9" ht="15.75" customHeight="1" x14ac:dyDescent="0.25">
      <c r="A551" s="9">
        <v>496008</v>
      </c>
      <c r="B551" s="2">
        <v>48129</v>
      </c>
      <c r="C551" s="22" t="s">
        <v>630</v>
      </c>
      <c r="D551" s="6">
        <v>2</v>
      </c>
      <c r="E551" s="26">
        <v>40206.525000000001</v>
      </c>
      <c r="F551" s="11">
        <v>6.75</v>
      </c>
      <c r="G551" s="9">
        <v>14911</v>
      </c>
      <c r="H551" s="1" t="s">
        <v>978</v>
      </c>
      <c r="I551" s="3">
        <f t="shared" si="8"/>
        <v>13.5</v>
      </c>
    </row>
    <row r="552" spans="1:9" ht="15.75" customHeight="1" x14ac:dyDescent="0.25">
      <c r="A552" s="9">
        <v>535680</v>
      </c>
      <c r="B552" s="2">
        <v>21670</v>
      </c>
      <c r="C552" s="22" t="s">
        <v>631</v>
      </c>
      <c r="D552" s="6">
        <v>12</v>
      </c>
      <c r="E552" s="26">
        <v>40510.517361111109</v>
      </c>
      <c r="F552" s="11">
        <v>1.25</v>
      </c>
      <c r="G552" s="9">
        <v>17001</v>
      </c>
      <c r="H552" s="1" t="s">
        <v>9</v>
      </c>
      <c r="I552" s="3">
        <f t="shared" si="8"/>
        <v>15</v>
      </c>
    </row>
    <row r="553" spans="1:9" ht="15.75" customHeight="1" x14ac:dyDescent="0.25">
      <c r="A553" s="9">
        <v>498121</v>
      </c>
      <c r="B553" s="2">
        <v>48129</v>
      </c>
      <c r="C553" s="22" t="s">
        <v>630</v>
      </c>
      <c r="D553" s="6">
        <v>5</v>
      </c>
      <c r="E553" s="26">
        <v>40225.643750000003</v>
      </c>
      <c r="F553" s="11">
        <v>7.49</v>
      </c>
      <c r="G553" s="9">
        <v>17351</v>
      </c>
      <c r="H553" s="1" t="s">
        <v>9</v>
      </c>
      <c r="I553" s="3">
        <f t="shared" si="8"/>
        <v>37.450000000000003</v>
      </c>
    </row>
    <row r="554" spans="1:9" ht="15.75" customHeight="1" x14ac:dyDescent="0.25">
      <c r="A554" s="9">
        <v>491998</v>
      </c>
      <c r="B554" s="2">
        <v>21041</v>
      </c>
      <c r="C554" s="22" t="s">
        <v>632</v>
      </c>
      <c r="D554" s="6">
        <v>6</v>
      </c>
      <c r="E554" s="26">
        <v>40162.464583333327</v>
      </c>
      <c r="F554" s="11">
        <v>2.95</v>
      </c>
      <c r="G554" s="9">
        <v>16858</v>
      </c>
      <c r="H554" s="1" t="s">
        <v>9</v>
      </c>
      <c r="I554" s="3">
        <f t="shared" si="8"/>
        <v>17.700000000000003</v>
      </c>
    </row>
    <row r="555" spans="1:9" ht="15.75" customHeight="1" x14ac:dyDescent="0.25">
      <c r="A555" s="9">
        <v>530796</v>
      </c>
      <c r="B555" s="2">
        <v>84915</v>
      </c>
      <c r="C555" s="22" t="s">
        <v>633</v>
      </c>
      <c r="D555" s="6">
        <v>1</v>
      </c>
      <c r="E555" s="26">
        <v>40486.518750000003</v>
      </c>
      <c r="F555" s="11">
        <v>5.95</v>
      </c>
      <c r="G555" s="9">
        <v>16391</v>
      </c>
      <c r="H555" s="1" t="s">
        <v>9</v>
      </c>
      <c r="I555" s="3">
        <f t="shared" si="8"/>
        <v>5.95</v>
      </c>
    </row>
    <row r="556" spans="1:9" ht="15.75" customHeight="1" x14ac:dyDescent="0.25">
      <c r="A556" s="9">
        <v>491395</v>
      </c>
      <c r="B556" s="2">
        <v>21737</v>
      </c>
      <c r="C556" s="22" t="s">
        <v>453</v>
      </c>
      <c r="D556" s="6" t="s">
        <v>330</v>
      </c>
      <c r="E556" s="26">
        <v>40157.6875</v>
      </c>
      <c r="F556" s="11">
        <v>19.95</v>
      </c>
      <c r="G556" s="9">
        <v>16901</v>
      </c>
      <c r="H556" s="1" t="s">
        <v>9</v>
      </c>
      <c r="I556" s="3">
        <f t="shared" si="8"/>
        <v>19.95</v>
      </c>
    </row>
    <row r="557" spans="1:9" ht="15.75" customHeight="1" x14ac:dyDescent="0.25">
      <c r="A557" s="9">
        <v>515313</v>
      </c>
      <c r="B557" s="2">
        <v>21272</v>
      </c>
      <c r="C557" s="22" t="s">
        <v>634</v>
      </c>
      <c r="D557" s="6">
        <v>2</v>
      </c>
      <c r="E557" s="26">
        <v>40370.436111111107</v>
      </c>
      <c r="F557" s="11">
        <v>1.25</v>
      </c>
      <c r="G557" s="9">
        <v>15164</v>
      </c>
      <c r="H557" s="1" t="s">
        <v>9</v>
      </c>
      <c r="I557" s="3">
        <f t="shared" si="8"/>
        <v>2.5</v>
      </c>
    </row>
    <row r="558" spans="1:9" ht="15.75" customHeight="1" x14ac:dyDescent="0.25">
      <c r="A558" s="9">
        <v>531478</v>
      </c>
      <c r="B558" s="2">
        <v>22910</v>
      </c>
      <c r="C558" s="22" t="s">
        <v>533</v>
      </c>
      <c r="D558" s="6">
        <v>6</v>
      </c>
      <c r="E558" s="27" t="s">
        <v>635</v>
      </c>
      <c r="F558" s="11">
        <v>2.95</v>
      </c>
      <c r="G558" s="9">
        <v>17084</v>
      </c>
      <c r="H558" s="1" t="s">
        <v>9</v>
      </c>
      <c r="I558" s="3">
        <f t="shared" si="8"/>
        <v>17.700000000000003</v>
      </c>
    </row>
    <row r="559" spans="1:9" ht="15.75" customHeight="1" x14ac:dyDescent="0.25">
      <c r="A559" s="9">
        <v>535467</v>
      </c>
      <c r="B559" s="2" t="s">
        <v>153</v>
      </c>
      <c r="C559" s="22" t="s">
        <v>154</v>
      </c>
      <c r="D559" s="6">
        <v>12</v>
      </c>
      <c r="E559" s="26">
        <v>40508.55972222222</v>
      </c>
      <c r="F559" s="11">
        <v>2.95</v>
      </c>
      <c r="G559" s="9">
        <v>15081</v>
      </c>
      <c r="H559" s="1" t="s">
        <v>9</v>
      </c>
      <c r="I559" s="3">
        <f t="shared" si="8"/>
        <v>35.400000000000006</v>
      </c>
    </row>
    <row r="560" spans="1:9" ht="15.75" customHeight="1" x14ac:dyDescent="0.25">
      <c r="A560" s="9">
        <v>499123</v>
      </c>
      <c r="B560" s="2">
        <v>84050</v>
      </c>
      <c r="C560" s="22" t="s">
        <v>520</v>
      </c>
      <c r="D560" s="6">
        <v>6</v>
      </c>
      <c r="E560" s="26">
        <v>40233.677083333343</v>
      </c>
      <c r="F560" s="11">
        <v>1.65</v>
      </c>
      <c r="G560" s="9">
        <v>14556</v>
      </c>
      <c r="H560" s="1" t="s">
        <v>9</v>
      </c>
      <c r="I560" s="3">
        <f t="shared" si="8"/>
        <v>9.8999999999999986</v>
      </c>
    </row>
    <row r="561" spans="1:9" ht="15.75" customHeight="1" x14ac:dyDescent="0.25">
      <c r="A561" s="9">
        <v>509413</v>
      </c>
      <c r="B561" s="2">
        <v>22327</v>
      </c>
      <c r="C561" s="22" t="s">
        <v>636</v>
      </c>
      <c r="D561" s="6">
        <v>3</v>
      </c>
      <c r="E561" s="26">
        <v>40321.519444444442</v>
      </c>
      <c r="F561" s="11">
        <v>2.95</v>
      </c>
      <c r="G561" s="9">
        <v>17920</v>
      </c>
      <c r="H561" s="1" t="s">
        <v>9</v>
      </c>
      <c r="I561" s="3">
        <f t="shared" si="8"/>
        <v>8.8500000000000014</v>
      </c>
    </row>
    <row r="562" spans="1:9" ht="15.75" customHeight="1" x14ac:dyDescent="0.25">
      <c r="A562" s="9">
        <v>517518</v>
      </c>
      <c r="B562" s="2">
        <v>85178</v>
      </c>
      <c r="C562" s="22" t="s">
        <v>597</v>
      </c>
      <c r="D562" s="6">
        <v>12</v>
      </c>
      <c r="E562" s="26">
        <v>40388.579861111109</v>
      </c>
      <c r="F562" s="11">
        <v>1.25</v>
      </c>
      <c r="G562" s="9">
        <v>13013</v>
      </c>
      <c r="H562" s="1" t="s">
        <v>9</v>
      </c>
      <c r="I562" s="3">
        <f t="shared" si="8"/>
        <v>15</v>
      </c>
    </row>
    <row r="563" spans="1:9" ht="15.75" customHeight="1" x14ac:dyDescent="0.25">
      <c r="A563" s="9">
        <v>490871</v>
      </c>
      <c r="B563" s="2">
        <v>21904</v>
      </c>
      <c r="C563" s="22" t="s">
        <v>637</v>
      </c>
      <c r="D563" s="6">
        <v>3</v>
      </c>
      <c r="E563" s="26">
        <v>40155.537499999999</v>
      </c>
      <c r="F563" s="11">
        <v>2.1</v>
      </c>
      <c r="G563" s="9">
        <v>15456</v>
      </c>
      <c r="H563" s="1" t="s">
        <v>9</v>
      </c>
      <c r="I563" s="3">
        <f t="shared" si="8"/>
        <v>6.3000000000000007</v>
      </c>
    </row>
    <row r="564" spans="1:9" ht="15.75" customHeight="1" x14ac:dyDescent="0.25">
      <c r="A564" s="9">
        <v>526230</v>
      </c>
      <c r="B564" s="2" t="s">
        <v>638</v>
      </c>
      <c r="C564" s="22" t="s">
        <v>639</v>
      </c>
      <c r="D564" s="6">
        <v>6</v>
      </c>
      <c r="E564" s="26">
        <v>40461.643750000003</v>
      </c>
      <c r="F564" s="11">
        <v>2.95</v>
      </c>
      <c r="G564" s="9">
        <v>13362</v>
      </c>
      <c r="H564" s="1" t="s">
        <v>9</v>
      </c>
      <c r="I564" s="3">
        <f t="shared" si="8"/>
        <v>17.700000000000003</v>
      </c>
    </row>
    <row r="565" spans="1:9" ht="15.75" customHeight="1" x14ac:dyDescent="0.25">
      <c r="A565" s="9">
        <v>510191</v>
      </c>
      <c r="B565" s="2" t="s">
        <v>577</v>
      </c>
      <c r="C565" s="22" t="s">
        <v>578</v>
      </c>
      <c r="D565" s="6">
        <v>12</v>
      </c>
      <c r="E565" s="26">
        <v>40325.74722222222</v>
      </c>
      <c r="F565" s="11">
        <v>0.85</v>
      </c>
      <c r="G565" s="9">
        <v>16451</v>
      </c>
      <c r="H565" s="1" t="s">
        <v>9</v>
      </c>
      <c r="I565" s="3">
        <f t="shared" si="8"/>
        <v>10.199999999999999</v>
      </c>
    </row>
    <row r="566" spans="1:9" ht="15.75" customHeight="1" x14ac:dyDescent="0.25">
      <c r="A566" s="9">
        <v>530409</v>
      </c>
      <c r="B566" s="2">
        <v>22692</v>
      </c>
      <c r="C566" s="22" t="s">
        <v>640</v>
      </c>
      <c r="D566" s="6">
        <v>2</v>
      </c>
      <c r="E566" s="26">
        <v>40484.755555555559</v>
      </c>
      <c r="F566" s="11">
        <v>7.95</v>
      </c>
      <c r="G566" s="9">
        <v>16614</v>
      </c>
      <c r="H566" s="1" t="s">
        <v>9</v>
      </c>
      <c r="I566" s="3">
        <f t="shared" si="8"/>
        <v>15.9</v>
      </c>
    </row>
    <row r="567" spans="1:9" ht="15.75" customHeight="1" x14ac:dyDescent="0.25">
      <c r="A567" s="9">
        <v>521166</v>
      </c>
      <c r="B567" s="2">
        <v>22569</v>
      </c>
      <c r="C567" s="22" t="s">
        <v>56</v>
      </c>
      <c r="D567" s="6">
        <v>1</v>
      </c>
      <c r="E567" s="26">
        <v>40423.619444444441</v>
      </c>
      <c r="F567" s="11">
        <v>3.75</v>
      </c>
      <c r="G567" s="9">
        <v>17238</v>
      </c>
      <c r="H567" s="1" t="s">
        <v>9</v>
      </c>
      <c r="I567" s="3">
        <f t="shared" si="8"/>
        <v>3.75</v>
      </c>
    </row>
    <row r="568" spans="1:9" ht="15.75" customHeight="1" x14ac:dyDescent="0.25">
      <c r="A568" s="9">
        <v>505368</v>
      </c>
      <c r="B568" s="2">
        <v>22375</v>
      </c>
      <c r="C568" s="22" t="s">
        <v>641</v>
      </c>
      <c r="D568" s="6">
        <v>2</v>
      </c>
      <c r="E568" s="26">
        <v>40289.686111111107</v>
      </c>
      <c r="F568" s="11">
        <v>6.35</v>
      </c>
      <c r="G568" s="9">
        <v>14388</v>
      </c>
      <c r="H568" s="1" t="s">
        <v>9</v>
      </c>
      <c r="I568" s="3">
        <f t="shared" si="8"/>
        <v>12.7</v>
      </c>
    </row>
    <row r="569" spans="1:9" ht="15.75" customHeight="1" x14ac:dyDescent="0.25">
      <c r="A569" s="9">
        <v>512262</v>
      </c>
      <c r="B569" s="2">
        <v>84791</v>
      </c>
      <c r="C569" s="22" t="s">
        <v>642</v>
      </c>
      <c r="D569" s="6">
        <v>2</v>
      </c>
      <c r="E569" s="26">
        <v>40343.554166666669</v>
      </c>
      <c r="F569" s="11">
        <v>2.95</v>
      </c>
      <c r="G569" s="9">
        <v>16007</v>
      </c>
      <c r="H569" s="1" t="s">
        <v>9</v>
      </c>
      <c r="I569" s="3">
        <f t="shared" si="8"/>
        <v>5.9</v>
      </c>
    </row>
    <row r="570" spans="1:9" ht="15.75" customHeight="1" x14ac:dyDescent="0.25">
      <c r="A570" s="9">
        <v>519610</v>
      </c>
      <c r="B570" s="2" t="s">
        <v>643</v>
      </c>
      <c r="C570" s="22" t="s">
        <v>644</v>
      </c>
      <c r="D570" s="6">
        <v>2</v>
      </c>
      <c r="E570" s="26">
        <v>40408.70416666667</v>
      </c>
      <c r="F570" s="11">
        <v>2.5499999999999998</v>
      </c>
      <c r="G570" s="9">
        <v>15494</v>
      </c>
      <c r="H570" s="1" t="s">
        <v>9</v>
      </c>
      <c r="I570" s="3">
        <f t="shared" si="8"/>
        <v>5.0999999999999996</v>
      </c>
    </row>
    <row r="571" spans="1:9" ht="15.75" customHeight="1" x14ac:dyDescent="0.25">
      <c r="A571" s="9">
        <v>512426</v>
      </c>
      <c r="B571" s="2" t="s">
        <v>577</v>
      </c>
      <c r="C571" s="22" t="s">
        <v>578</v>
      </c>
      <c r="D571" s="6">
        <v>12</v>
      </c>
      <c r="E571" s="26">
        <v>40344.625</v>
      </c>
      <c r="F571" s="11">
        <v>0.85</v>
      </c>
      <c r="G571" s="9">
        <v>13168</v>
      </c>
      <c r="H571" s="1" t="s">
        <v>9</v>
      </c>
      <c r="I571" s="3">
        <f t="shared" si="8"/>
        <v>10.199999999999999</v>
      </c>
    </row>
    <row r="572" spans="1:9" ht="15.75" customHeight="1" x14ac:dyDescent="0.25">
      <c r="A572" s="9">
        <v>527571</v>
      </c>
      <c r="B572" s="2">
        <v>22785</v>
      </c>
      <c r="C572" s="22" t="s">
        <v>645</v>
      </c>
      <c r="D572" s="6">
        <v>6</v>
      </c>
      <c r="E572" s="26">
        <v>40469.56527777778</v>
      </c>
      <c r="F572" s="11">
        <v>6.75</v>
      </c>
      <c r="G572" s="9">
        <v>17672</v>
      </c>
      <c r="H572" s="1" t="s">
        <v>9</v>
      </c>
      <c r="I572" s="3">
        <f t="shared" si="8"/>
        <v>40.5</v>
      </c>
    </row>
    <row r="573" spans="1:9" ht="15.75" customHeight="1" x14ac:dyDescent="0.25">
      <c r="A573" s="9" t="s">
        <v>646</v>
      </c>
      <c r="B573" s="2">
        <v>22646</v>
      </c>
      <c r="C573" s="22" t="s">
        <v>647</v>
      </c>
      <c r="D573" s="6">
        <v>12</v>
      </c>
      <c r="E573" s="26">
        <v>40360.400000000001</v>
      </c>
      <c r="F573" s="11">
        <v>1.45</v>
      </c>
      <c r="G573" s="9">
        <v>17146</v>
      </c>
      <c r="H573" s="1" t="s">
        <v>9</v>
      </c>
      <c r="I573" s="3">
        <f t="shared" si="8"/>
        <v>17.399999999999999</v>
      </c>
    </row>
    <row r="574" spans="1:9" ht="15.75" customHeight="1" x14ac:dyDescent="0.25">
      <c r="A574" s="9">
        <v>499067</v>
      </c>
      <c r="B574" s="2" t="s">
        <v>53</v>
      </c>
      <c r="C574" s="22" t="s">
        <v>54</v>
      </c>
      <c r="D574" s="6">
        <v>60</v>
      </c>
      <c r="E574" s="26">
        <v>40233.604166666657</v>
      </c>
      <c r="F574" s="11">
        <v>4.95</v>
      </c>
      <c r="G574" s="9">
        <v>14911</v>
      </c>
      <c r="H574" s="1" t="s">
        <v>978</v>
      </c>
      <c r="I574" s="3">
        <f t="shared" si="8"/>
        <v>297</v>
      </c>
    </row>
    <row r="575" spans="1:9" ht="15.75" customHeight="1" x14ac:dyDescent="0.25">
      <c r="A575" s="9">
        <v>500122</v>
      </c>
      <c r="B575" s="2">
        <v>21868</v>
      </c>
      <c r="C575" s="22" t="s">
        <v>563</v>
      </c>
      <c r="D575" s="6">
        <v>12</v>
      </c>
      <c r="E575" s="26">
        <v>40241.599305555559</v>
      </c>
      <c r="F575" s="11">
        <v>1.25</v>
      </c>
      <c r="G575" s="9">
        <v>14018</v>
      </c>
      <c r="H575" s="1" t="s">
        <v>9</v>
      </c>
      <c r="I575" s="3">
        <f t="shared" si="8"/>
        <v>15</v>
      </c>
    </row>
    <row r="576" spans="1:9" ht="15.75" customHeight="1" x14ac:dyDescent="0.25">
      <c r="A576" s="9">
        <v>535260</v>
      </c>
      <c r="B576" s="2" t="s">
        <v>648</v>
      </c>
      <c r="C576" s="22" t="s">
        <v>649</v>
      </c>
      <c r="D576" s="6">
        <v>1</v>
      </c>
      <c r="E576" s="26">
        <v>40507.555555555547</v>
      </c>
      <c r="F576" s="11">
        <v>1.65</v>
      </c>
      <c r="G576" s="9">
        <v>15021</v>
      </c>
      <c r="H576" s="1" t="s">
        <v>9</v>
      </c>
      <c r="I576" s="3">
        <f t="shared" si="8"/>
        <v>1.65</v>
      </c>
    </row>
    <row r="577" spans="1:9" ht="15.75" customHeight="1" x14ac:dyDescent="0.25">
      <c r="A577" s="9">
        <v>533318</v>
      </c>
      <c r="B577" s="2">
        <v>22176</v>
      </c>
      <c r="C577" s="22" t="s">
        <v>650</v>
      </c>
      <c r="D577" s="6">
        <v>12</v>
      </c>
      <c r="E577" s="26">
        <v>40498.724305555559</v>
      </c>
      <c r="F577" s="11">
        <v>2.95</v>
      </c>
      <c r="G577" s="9">
        <v>14828</v>
      </c>
      <c r="H577" s="1" t="s">
        <v>9</v>
      </c>
      <c r="I577" s="3">
        <f t="shared" si="8"/>
        <v>35.400000000000006</v>
      </c>
    </row>
    <row r="578" spans="1:9" ht="15.75" customHeight="1" x14ac:dyDescent="0.25">
      <c r="A578" s="9">
        <v>534705</v>
      </c>
      <c r="B578" s="2">
        <v>21248</v>
      </c>
      <c r="C578" s="22" t="s">
        <v>651</v>
      </c>
      <c r="D578" s="6">
        <v>4</v>
      </c>
      <c r="E578" s="26">
        <v>40505.694444444453</v>
      </c>
      <c r="F578" s="11">
        <v>1.45</v>
      </c>
      <c r="G578" s="9">
        <v>16242</v>
      </c>
      <c r="H578" s="1" t="s">
        <v>9</v>
      </c>
      <c r="I578" s="3">
        <f t="shared" ref="I578:I641" si="9">(D578 *F578)</f>
        <v>5.8</v>
      </c>
    </row>
    <row r="579" spans="1:9" ht="15.75" customHeight="1" x14ac:dyDescent="0.25">
      <c r="A579" s="9">
        <v>532391</v>
      </c>
      <c r="B579" s="2" t="s">
        <v>652</v>
      </c>
      <c r="C579" s="22" t="s">
        <v>601</v>
      </c>
      <c r="D579" s="6">
        <v>5</v>
      </c>
      <c r="E579" s="26">
        <v>40493.801388888889</v>
      </c>
      <c r="F579" s="11">
        <v>0.85</v>
      </c>
      <c r="G579" s="9">
        <v>16797</v>
      </c>
      <c r="H579" s="1" t="s">
        <v>9</v>
      </c>
      <c r="I579" s="3">
        <f t="shared" si="9"/>
        <v>4.25</v>
      </c>
    </row>
    <row r="580" spans="1:9" ht="15.75" customHeight="1" x14ac:dyDescent="0.25">
      <c r="A580" s="9">
        <v>525232</v>
      </c>
      <c r="B580" s="2">
        <v>22365</v>
      </c>
      <c r="C580" s="22" t="s">
        <v>653</v>
      </c>
      <c r="D580" s="6">
        <v>10</v>
      </c>
      <c r="E580" s="26">
        <v>40455.59097222222</v>
      </c>
      <c r="F580" s="11">
        <v>6.75</v>
      </c>
      <c r="G580" s="9" t="s">
        <v>654</v>
      </c>
      <c r="H580" s="1" t="s">
        <v>982</v>
      </c>
      <c r="I580" s="3">
        <f t="shared" si="9"/>
        <v>67.5</v>
      </c>
    </row>
    <row r="581" spans="1:9" ht="15.75" customHeight="1" x14ac:dyDescent="0.25">
      <c r="A581" s="9">
        <v>500751</v>
      </c>
      <c r="B581" s="2">
        <v>79320</v>
      </c>
      <c r="C581" s="22" t="s">
        <v>656</v>
      </c>
      <c r="D581" s="6">
        <v>4</v>
      </c>
      <c r="E581" s="26">
        <v>40247.434027777781</v>
      </c>
      <c r="F581" s="11">
        <v>4.95</v>
      </c>
      <c r="G581" s="9">
        <v>13081</v>
      </c>
      <c r="H581" s="1" t="s">
        <v>9</v>
      </c>
      <c r="I581" s="3">
        <f t="shared" si="9"/>
        <v>19.8</v>
      </c>
    </row>
    <row r="582" spans="1:9" ht="15.75" customHeight="1" x14ac:dyDescent="0.25">
      <c r="A582" s="9">
        <v>495546</v>
      </c>
      <c r="B582" s="2">
        <v>21790</v>
      </c>
      <c r="C582" s="22" t="s">
        <v>257</v>
      </c>
      <c r="D582" s="6">
        <v>6</v>
      </c>
      <c r="E582" s="26">
        <v>40203.662499999999</v>
      </c>
      <c r="F582" s="11">
        <v>0.85</v>
      </c>
      <c r="G582" s="9">
        <v>13206</v>
      </c>
      <c r="H582" s="1" t="s">
        <v>9</v>
      </c>
      <c r="I582" s="3">
        <f t="shared" si="9"/>
        <v>5.0999999999999996</v>
      </c>
    </row>
    <row r="583" spans="1:9" ht="15.75" customHeight="1" x14ac:dyDescent="0.25">
      <c r="A583" s="9">
        <v>489875</v>
      </c>
      <c r="B583" s="2">
        <v>21622</v>
      </c>
      <c r="C583" s="22" t="s">
        <v>89</v>
      </c>
      <c r="D583" s="6">
        <v>3</v>
      </c>
      <c r="E583" s="26">
        <v>40149.65347222222</v>
      </c>
      <c r="F583" s="11">
        <v>4.95</v>
      </c>
      <c r="G583" s="9">
        <v>17841</v>
      </c>
      <c r="H583" s="1" t="s">
        <v>9</v>
      </c>
      <c r="I583" s="3">
        <f t="shared" si="9"/>
        <v>14.850000000000001</v>
      </c>
    </row>
    <row r="584" spans="1:9" ht="15.75" customHeight="1" x14ac:dyDescent="0.25">
      <c r="A584" s="9">
        <v>510138</v>
      </c>
      <c r="B584" s="2">
        <v>21155</v>
      </c>
      <c r="C584" s="22" t="s">
        <v>455</v>
      </c>
      <c r="D584" s="6">
        <v>6</v>
      </c>
      <c r="E584" s="26">
        <v>40325.515277777777</v>
      </c>
      <c r="F584" s="11">
        <v>2.1</v>
      </c>
      <c r="G584" s="9">
        <v>16946</v>
      </c>
      <c r="H584" s="1" t="s">
        <v>9</v>
      </c>
      <c r="I584" s="3">
        <f t="shared" si="9"/>
        <v>12.600000000000001</v>
      </c>
    </row>
    <row r="585" spans="1:9" ht="15.75" customHeight="1" x14ac:dyDescent="0.25">
      <c r="A585" s="9" t="s">
        <v>657</v>
      </c>
      <c r="B585" s="2">
        <v>20728</v>
      </c>
      <c r="C585" s="22" t="s">
        <v>658</v>
      </c>
      <c r="D585" s="6">
        <v>-50</v>
      </c>
      <c r="E585" s="26">
        <v>40422.536111111112</v>
      </c>
      <c r="F585" s="11">
        <v>1.45</v>
      </c>
      <c r="G585" s="9">
        <v>14156</v>
      </c>
      <c r="H585" s="1" t="s">
        <v>978</v>
      </c>
      <c r="I585" s="3">
        <f t="shared" si="9"/>
        <v>-72.5</v>
      </c>
    </row>
    <row r="586" spans="1:9" ht="15.75" customHeight="1" x14ac:dyDescent="0.25">
      <c r="A586" s="9">
        <v>520738</v>
      </c>
      <c r="B586" s="2">
        <v>22147</v>
      </c>
      <c r="C586" s="22" t="s">
        <v>659</v>
      </c>
      <c r="D586" s="6">
        <v>12</v>
      </c>
      <c r="E586" s="26">
        <v>40421.4</v>
      </c>
      <c r="F586" s="11">
        <v>1.45</v>
      </c>
      <c r="G586" s="9">
        <v>14837</v>
      </c>
      <c r="H586" s="1" t="s">
        <v>9</v>
      </c>
      <c r="I586" s="3">
        <f t="shared" si="9"/>
        <v>17.399999999999999</v>
      </c>
    </row>
    <row r="587" spans="1:9" ht="15.75" customHeight="1" x14ac:dyDescent="0.25">
      <c r="A587" s="9" t="s">
        <v>660</v>
      </c>
      <c r="B587" s="2">
        <v>85042</v>
      </c>
      <c r="C587" s="22" t="s">
        <v>661</v>
      </c>
      <c r="D587" s="6">
        <v>-1</v>
      </c>
      <c r="E587" s="26">
        <v>40359.495833333327</v>
      </c>
      <c r="F587" s="11">
        <v>4.95</v>
      </c>
      <c r="G587" s="9">
        <v>14555</v>
      </c>
      <c r="H587" s="1" t="s">
        <v>9</v>
      </c>
      <c r="I587" s="3">
        <f t="shared" si="9"/>
        <v>-4.95</v>
      </c>
    </row>
    <row r="588" spans="1:9" ht="15.75" customHeight="1" x14ac:dyDescent="0.25">
      <c r="A588" s="9">
        <v>537400</v>
      </c>
      <c r="B588" s="2">
        <v>82551</v>
      </c>
      <c r="C588" s="22" t="s">
        <v>662</v>
      </c>
      <c r="D588" s="6">
        <v>1</v>
      </c>
      <c r="E588" s="26">
        <v>40518.60833333333</v>
      </c>
      <c r="F588" s="11">
        <v>1.45</v>
      </c>
      <c r="G588" s="9">
        <v>17191</v>
      </c>
      <c r="H588" s="1" t="s">
        <v>9</v>
      </c>
      <c r="I588" s="3">
        <f t="shared" si="9"/>
        <v>1.45</v>
      </c>
    </row>
    <row r="589" spans="1:9" ht="15.75" customHeight="1" x14ac:dyDescent="0.25">
      <c r="A589" s="9">
        <v>527309</v>
      </c>
      <c r="B589" s="2">
        <v>22469</v>
      </c>
      <c r="C589" s="22" t="s">
        <v>663</v>
      </c>
      <c r="D589" s="6">
        <v>2</v>
      </c>
      <c r="E589" s="26">
        <v>40466.615972222222</v>
      </c>
      <c r="F589" s="11">
        <v>1.65</v>
      </c>
      <c r="G589" s="9">
        <v>13052</v>
      </c>
      <c r="H589" s="1" t="s">
        <v>9</v>
      </c>
      <c r="I589" s="3">
        <f t="shared" si="9"/>
        <v>3.3</v>
      </c>
    </row>
    <row r="590" spans="1:9" ht="15.75" customHeight="1" x14ac:dyDescent="0.25">
      <c r="A590" s="9">
        <v>534155</v>
      </c>
      <c r="B590" s="2">
        <v>20754</v>
      </c>
      <c r="C590" s="22" t="s">
        <v>665</v>
      </c>
      <c r="D590" s="6">
        <v>2</v>
      </c>
      <c r="E590" s="26">
        <v>40503.521527777782</v>
      </c>
      <c r="F590" s="11">
        <v>2.1</v>
      </c>
      <c r="G590" s="9">
        <v>17618</v>
      </c>
      <c r="H590" s="1" t="s">
        <v>9</v>
      </c>
      <c r="I590" s="3">
        <f t="shared" si="9"/>
        <v>4.2</v>
      </c>
    </row>
    <row r="591" spans="1:9" ht="15.75" customHeight="1" x14ac:dyDescent="0.25">
      <c r="A591" s="9">
        <v>504903</v>
      </c>
      <c r="B591" s="2">
        <v>84991</v>
      </c>
      <c r="C591" s="22" t="s">
        <v>666</v>
      </c>
      <c r="D591" s="6">
        <v>2</v>
      </c>
      <c r="E591" s="26">
        <v>40286.658333333333</v>
      </c>
      <c r="F591" s="11">
        <v>0.55000000000000004</v>
      </c>
      <c r="G591" s="9">
        <v>16549</v>
      </c>
      <c r="H591" s="1" t="s">
        <v>9</v>
      </c>
      <c r="I591" s="3">
        <f t="shared" si="9"/>
        <v>1.1000000000000001</v>
      </c>
    </row>
    <row r="592" spans="1:9" ht="15.75" customHeight="1" x14ac:dyDescent="0.25">
      <c r="A592" s="9">
        <v>508496</v>
      </c>
      <c r="B592" s="2" t="s">
        <v>667</v>
      </c>
      <c r="C592" s="22" t="s">
        <v>668</v>
      </c>
      <c r="D592" s="6">
        <v>6</v>
      </c>
      <c r="E592" s="26">
        <v>40314.611805555563</v>
      </c>
      <c r="F592" s="11">
        <v>1.49</v>
      </c>
      <c r="G592" s="9">
        <v>16208</v>
      </c>
      <c r="H592" s="1" t="s">
        <v>9</v>
      </c>
      <c r="I592" s="3">
        <f t="shared" si="9"/>
        <v>8.94</v>
      </c>
    </row>
    <row r="593" spans="1:9" ht="15.75" customHeight="1" x14ac:dyDescent="0.25">
      <c r="A593" s="9">
        <v>519658</v>
      </c>
      <c r="B593" s="2">
        <v>21745</v>
      </c>
      <c r="C593" s="22" t="s">
        <v>669</v>
      </c>
      <c r="D593" s="6">
        <v>2</v>
      </c>
      <c r="E593" s="26">
        <v>40409.480555555558</v>
      </c>
      <c r="F593" s="11">
        <v>3.75</v>
      </c>
      <c r="G593" s="9">
        <v>16225</v>
      </c>
      <c r="H593" s="1" t="s">
        <v>9</v>
      </c>
      <c r="I593" s="3">
        <f t="shared" si="9"/>
        <v>7.5</v>
      </c>
    </row>
    <row r="594" spans="1:9" ht="15.75" customHeight="1" x14ac:dyDescent="0.25">
      <c r="A594" s="9">
        <v>492078</v>
      </c>
      <c r="B594" s="2">
        <v>21034</v>
      </c>
      <c r="C594" s="22" t="s">
        <v>414</v>
      </c>
      <c r="D594" s="6">
        <v>1</v>
      </c>
      <c r="E594" s="26">
        <v>40162.574999999997</v>
      </c>
      <c r="F594" s="11">
        <v>0.95</v>
      </c>
      <c r="G594" s="9">
        <v>14966</v>
      </c>
      <c r="H594" s="1" t="s">
        <v>9</v>
      </c>
      <c r="I594" s="3">
        <f t="shared" si="9"/>
        <v>0.95</v>
      </c>
    </row>
    <row r="595" spans="1:9" ht="15.75" customHeight="1" x14ac:dyDescent="0.25">
      <c r="A595" s="9">
        <v>535957</v>
      </c>
      <c r="B595" s="2">
        <v>22966</v>
      </c>
      <c r="C595" s="22" t="s">
        <v>670</v>
      </c>
      <c r="D595" s="6">
        <v>12</v>
      </c>
      <c r="E595" s="26">
        <v>40511.518055555563</v>
      </c>
      <c r="F595" s="11">
        <v>1.25</v>
      </c>
      <c r="G595" s="9">
        <v>13510</v>
      </c>
      <c r="H595" s="1" t="s">
        <v>9</v>
      </c>
      <c r="I595" s="3">
        <f t="shared" si="9"/>
        <v>15</v>
      </c>
    </row>
    <row r="596" spans="1:9" ht="15.75" customHeight="1" x14ac:dyDescent="0.25">
      <c r="A596" s="9">
        <v>499242</v>
      </c>
      <c r="B596" s="2">
        <v>22354</v>
      </c>
      <c r="C596" s="22" t="s">
        <v>671</v>
      </c>
      <c r="D596" s="6">
        <v>8</v>
      </c>
      <c r="E596" s="26">
        <v>40234.561805555553</v>
      </c>
      <c r="F596" s="11">
        <v>3.39</v>
      </c>
      <c r="G596" s="9">
        <v>17850</v>
      </c>
      <c r="H596" s="1" t="s">
        <v>9</v>
      </c>
      <c r="I596" s="3">
        <f t="shared" si="9"/>
        <v>27.12</v>
      </c>
    </row>
    <row r="597" spans="1:9" ht="15.75" customHeight="1" x14ac:dyDescent="0.25">
      <c r="A597" s="9">
        <v>529341</v>
      </c>
      <c r="B597" s="2">
        <v>22150</v>
      </c>
      <c r="C597" s="22" t="s">
        <v>392</v>
      </c>
      <c r="D597" s="6">
        <v>1</v>
      </c>
      <c r="E597" s="26">
        <v>40478.693055555559</v>
      </c>
      <c r="F597" s="11">
        <v>1.95</v>
      </c>
      <c r="G597" s="9">
        <v>17322</v>
      </c>
      <c r="H597" s="1" t="s">
        <v>9</v>
      </c>
      <c r="I597" s="3">
        <f t="shared" si="9"/>
        <v>1.95</v>
      </c>
    </row>
    <row r="598" spans="1:9" ht="15.75" customHeight="1" x14ac:dyDescent="0.25">
      <c r="A598" s="9">
        <v>535799</v>
      </c>
      <c r="B598" s="2">
        <v>22733</v>
      </c>
      <c r="C598" s="22" t="s">
        <v>150</v>
      </c>
      <c r="D598" s="6">
        <v>1</v>
      </c>
      <c r="E598" s="26">
        <v>40510.617361111108</v>
      </c>
      <c r="F598" s="11">
        <v>1.25</v>
      </c>
      <c r="G598" s="9">
        <v>16720</v>
      </c>
      <c r="H598" s="1" t="s">
        <v>9</v>
      </c>
      <c r="I598" s="3">
        <f t="shared" si="9"/>
        <v>1.25</v>
      </c>
    </row>
    <row r="599" spans="1:9" ht="15.75" customHeight="1" x14ac:dyDescent="0.25">
      <c r="A599" s="9">
        <v>522080</v>
      </c>
      <c r="B599" s="2">
        <v>84839</v>
      </c>
      <c r="C599" s="22" t="s">
        <v>130</v>
      </c>
      <c r="D599" s="6">
        <v>1</v>
      </c>
      <c r="E599" s="26">
        <v>40433.486805555563</v>
      </c>
      <c r="F599" s="11">
        <v>6.75</v>
      </c>
      <c r="G599" s="9">
        <v>14525</v>
      </c>
      <c r="H599" s="1" t="s">
        <v>9</v>
      </c>
      <c r="I599" s="3">
        <f t="shared" si="9"/>
        <v>6.75</v>
      </c>
    </row>
    <row r="600" spans="1:9" ht="15.75" customHeight="1" x14ac:dyDescent="0.25">
      <c r="A600" s="9">
        <v>531900</v>
      </c>
      <c r="B600" s="2">
        <v>21107</v>
      </c>
      <c r="C600" s="22" t="s">
        <v>672</v>
      </c>
      <c r="D600" s="6">
        <v>1</v>
      </c>
      <c r="E600" s="26">
        <v>40492.502083333333</v>
      </c>
      <c r="F600" s="11">
        <v>2.95</v>
      </c>
      <c r="G600" s="9">
        <v>15031</v>
      </c>
      <c r="H600" s="1" t="s">
        <v>9</v>
      </c>
      <c r="I600" s="3">
        <f t="shared" si="9"/>
        <v>2.95</v>
      </c>
    </row>
    <row r="601" spans="1:9" ht="15.75" customHeight="1" x14ac:dyDescent="0.25">
      <c r="A601" s="9">
        <v>524174</v>
      </c>
      <c r="B601" s="2">
        <v>21393</v>
      </c>
      <c r="C601" s="22" t="s">
        <v>673</v>
      </c>
      <c r="D601" s="6">
        <v>2496</v>
      </c>
      <c r="E601" s="27" t="s">
        <v>674</v>
      </c>
      <c r="F601" s="11">
        <v>0.13</v>
      </c>
      <c r="G601" s="9">
        <v>13687</v>
      </c>
      <c r="H601" s="1" t="s">
        <v>9</v>
      </c>
      <c r="I601" s="3">
        <f t="shared" si="9"/>
        <v>324.48</v>
      </c>
    </row>
    <row r="602" spans="1:9" ht="15.75" customHeight="1" x14ac:dyDescent="0.25">
      <c r="A602" s="9">
        <v>523149</v>
      </c>
      <c r="B602" s="2">
        <v>82583</v>
      </c>
      <c r="C602" s="22" t="s">
        <v>675</v>
      </c>
      <c r="D602" s="6">
        <v>2</v>
      </c>
      <c r="E602" s="26">
        <v>40441.617361111108</v>
      </c>
      <c r="F602" s="11">
        <v>2.1</v>
      </c>
      <c r="G602" s="9">
        <v>17585</v>
      </c>
      <c r="H602" s="1" t="s">
        <v>9</v>
      </c>
      <c r="I602" s="3">
        <f t="shared" si="9"/>
        <v>4.2</v>
      </c>
    </row>
    <row r="603" spans="1:9" ht="15.75" customHeight="1" x14ac:dyDescent="0.25">
      <c r="A603" s="9">
        <v>501730</v>
      </c>
      <c r="B603" s="2">
        <v>22383</v>
      </c>
      <c r="C603" s="22" t="s">
        <v>676</v>
      </c>
      <c r="D603" s="6">
        <v>6</v>
      </c>
      <c r="E603" s="26">
        <v>40256.461805555547</v>
      </c>
      <c r="F603" s="11">
        <v>1.65</v>
      </c>
      <c r="G603" s="9">
        <v>14159</v>
      </c>
      <c r="H603" s="1" t="s">
        <v>9</v>
      </c>
      <c r="I603" s="3">
        <f t="shared" si="9"/>
        <v>9.8999999999999986</v>
      </c>
    </row>
    <row r="604" spans="1:9" ht="15.75" customHeight="1" x14ac:dyDescent="0.25">
      <c r="A604" s="9">
        <v>506909</v>
      </c>
      <c r="B604" s="2">
        <v>21071</v>
      </c>
      <c r="C604" s="22" t="s">
        <v>677</v>
      </c>
      <c r="D604" s="6">
        <v>12</v>
      </c>
      <c r="E604" s="26">
        <v>40303.449305555558</v>
      </c>
      <c r="F604" s="11">
        <v>1.25</v>
      </c>
      <c r="G604" s="9">
        <v>18061</v>
      </c>
      <c r="H604" s="1" t="s">
        <v>9</v>
      </c>
      <c r="I604" s="3">
        <f t="shared" si="9"/>
        <v>15</v>
      </c>
    </row>
    <row r="605" spans="1:9" ht="15.75" customHeight="1" x14ac:dyDescent="0.25">
      <c r="A605" s="9">
        <v>514023</v>
      </c>
      <c r="B605" s="2">
        <v>21160</v>
      </c>
      <c r="C605" s="22" t="s">
        <v>678</v>
      </c>
      <c r="D605" s="6">
        <v>1</v>
      </c>
      <c r="E605" s="26">
        <v>40359.463888888888</v>
      </c>
      <c r="F605" s="11">
        <v>1.45</v>
      </c>
      <c r="G605" s="9">
        <v>14530</v>
      </c>
      <c r="H605" s="1" t="s">
        <v>9</v>
      </c>
      <c r="I605" s="3">
        <f t="shared" si="9"/>
        <v>1.45</v>
      </c>
    </row>
    <row r="606" spans="1:9" ht="15.75" customHeight="1" x14ac:dyDescent="0.25">
      <c r="A606" s="9">
        <v>498400</v>
      </c>
      <c r="B606" s="2">
        <v>22384</v>
      </c>
      <c r="C606" s="22" t="s">
        <v>305</v>
      </c>
      <c r="D606" s="6">
        <v>4</v>
      </c>
      <c r="E606" s="26">
        <v>40227.647916666669</v>
      </c>
      <c r="F606" s="11">
        <v>1.65</v>
      </c>
      <c r="G606" s="9">
        <v>15005</v>
      </c>
      <c r="H606" s="1" t="s">
        <v>9</v>
      </c>
      <c r="I606" s="3">
        <f t="shared" si="9"/>
        <v>6.6</v>
      </c>
    </row>
    <row r="607" spans="1:9" ht="15.75" customHeight="1" x14ac:dyDescent="0.25">
      <c r="A607" s="9">
        <v>511300</v>
      </c>
      <c r="B607" s="2">
        <v>22425</v>
      </c>
      <c r="C607" s="22" t="s">
        <v>679</v>
      </c>
      <c r="D607" s="6">
        <v>1</v>
      </c>
      <c r="E607" s="26">
        <v>40336.646527777782</v>
      </c>
      <c r="F607" s="11">
        <v>4.95</v>
      </c>
      <c r="G607" s="9">
        <v>16788</v>
      </c>
      <c r="H607" s="1" t="s">
        <v>9</v>
      </c>
      <c r="I607" s="3">
        <f t="shared" si="9"/>
        <v>4.95</v>
      </c>
    </row>
    <row r="608" spans="1:9" ht="15.75" customHeight="1" x14ac:dyDescent="0.25">
      <c r="A608" s="9">
        <v>500498</v>
      </c>
      <c r="B608" s="2">
        <v>48138</v>
      </c>
      <c r="C608" s="22" t="s">
        <v>183</v>
      </c>
      <c r="D608" s="6">
        <v>2</v>
      </c>
      <c r="E608" s="26">
        <v>40245.553472222222</v>
      </c>
      <c r="F608" s="11">
        <v>7.49</v>
      </c>
      <c r="G608" s="9">
        <v>17672</v>
      </c>
      <c r="H608" s="1" t="s">
        <v>9</v>
      </c>
      <c r="I608" s="3">
        <f t="shared" si="9"/>
        <v>14.98</v>
      </c>
    </row>
    <row r="609" spans="1:9" ht="15.75" customHeight="1" x14ac:dyDescent="0.25">
      <c r="A609" s="9">
        <v>513050</v>
      </c>
      <c r="B609" s="2">
        <v>22081</v>
      </c>
      <c r="C609" s="22" t="s">
        <v>680</v>
      </c>
      <c r="D609" s="6">
        <v>2</v>
      </c>
      <c r="E609" s="26">
        <v>40350.554166666669</v>
      </c>
      <c r="F609" s="11">
        <v>1.65</v>
      </c>
      <c r="G609" s="9">
        <v>14493</v>
      </c>
      <c r="H609" s="1" t="s">
        <v>9</v>
      </c>
      <c r="I609" s="3">
        <f t="shared" si="9"/>
        <v>3.3</v>
      </c>
    </row>
    <row r="610" spans="1:9" ht="15.75" customHeight="1" x14ac:dyDescent="0.25">
      <c r="A610" s="9">
        <v>528618</v>
      </c>
      <c r="B610" s="2">
        <v>72133</v>
      </c>
      <c r="C610" s="22" t="s">
        <v>681</v>
      </c>
      <c r="D610" s="6">
        <v>2</v>
      </c>
      <c r="E610" s="26">
        <v>40473.713194444441</v>
      </c>
      <c r="F610" s="11">
        <v>1.25</v>
      </c>
      <c r="G610" s="9">
        <v>13263</v>
      </c>
      <c r="H610" s="1" t="s">
        <v>9</v>
      </c>
      <c r="I610" s="3">
        <f t="shared" si="9"/>
        <v>2.5</v>
      </c>
    </row>
    <row r="611" spans="1:9" ht="15.75" customHeight="1" x14ac:dyDescent="0.25">
      <c r="A611" s="9">
        <v>520176</v>
      </c>
      <c r="B611" s="2">
        <v>21931</v>
      </c>
      <c r="C611" s="22" t="s">
        <v>434</v>
      </c>
      <c r="D611" s="6">
        <v>20</v>
      </c>
      <c r="E611" s="26">
        <v>40414.561111111107</v>
      </c>
      <c r="F611" s="11">
        <v>1.95</v>
      </c>
      <c r="G611" s="9">
        <v>15615</v>
      </c>
      <c r="H611" s="1" t="s">
        <v>9</v>
      </c>
      <c r="I611" s="3">
        <f t="shared" si="9"/>
        <v>39</v>
      </c>
    </row>
    <row r="612" spans="1:9" ht="15.75" customHeight="1" x14ac:dyDescent="0.25">
      <c r="A612" s="9">
        <v>504183</v>
      </c>
      <c r="B612" s="2" t="s">
        <v>277</v>
      </c>
      <c r="C612" s="22" t="s">
        <v>682</v>
      </c>
      <c r="D612" s="6">
        <v>10</v>
      </c>
      <c r="E612" s="26">
        <v>40280.384027777778</v>
      </c>
      <c r="F612" s="11">
        <v>1.95</v>
      </c>
      <c r="G612" s="9">
        <v>13418</v>
      </c>
      <c r="H612" s="1" t="s">
        <v>9</v>
      </c>
      <c r="I612" s="3">
        <f t="shared" si="9"/>
        <v>19.5</v>
      </c>
    </row>
    <row r="613" spans="1:9" ht="15.75" customHeight="1" x14ac:dyDescent="0.25">
      <c r="A613" s="9" t="s">
        <v>683</v>
      </c>
      <c r="B613" s="2">
        <v>84975</v>
      </c>
      <c r="C613" s="22" t="s">
        <v>416</v>
      </c>
      <c r="D613" s="6">
        <v>6</v>
      </c>
      <c r="E613" s="26">
        <v>40241.522222222222</v>
      </c>
      <c r="F613" s="11">
        <v>1.69</v>
      </c>
      <c r="G613" s="9">
        <v>16771</v>
      </c>
      <c r="H613" s="1" t="s">
        <v>9</v>
      </c>
      <c r="I613" s="3">
        <f t="shared" si="9"/>
        <v>10.14</v>
      </c>
    </row>
    <row r="614" spans="1:9" ht="15.75" customHeight="1" x14ac:dyDescent="0.25">
      <c r="A614" s="9">
        <v>525104</v>
      </c>
      <c r="B614" s="2">
        <v>22162</v>
      </c>
      <c r="C614" s="22" t="s">
        <v>351</v>
      </c>
      <c r="D614" s="6">
        <v>8</v>
      </c>
      <c r="E614" s="26">
        <v>40455.436805555553</v>
      </c>
      <c r="F614" s="11">
        <v>2.95</v>
      </c>
      <c r="G614" s="9">
        <v>16476</v>
      </c>
      <c r="H614" s="1" t="s">
        <v>9</v>
      </c>
      <c r="I614" s="3">
        <f t="shared" si="9"/>
        <v>23.6</v>
      </c>
    </row>
    <row r="615" spans="1:9" ht="15.75" customHeight="1" x14ac:dyDescent="0.25">
      <c r="A615" s="9">
        <v>512560</v>
      </c>
      <c r="B615" s="2" t="s">
        <v>684</v>
      </c>
      <c r="C615" s="22" t="s">
        <v>685</v>
      </c>
      <c r="D615" s="6">
        <v>4</v>
      </c>
      <c r="E615" s="26">
        <v>40345.602777777778</v>
      </c>
      <c r="F615" s="11">
        <v>0.85</v>
      </c>
      <c r="G615" s="9">
        <v>17931</v>
      </c>
      <c r="H615" s="1" t="s">
        <v>9</v>
      </c>
      <c r="I615" s="3">
        <f t="shared" si="9"/>
        <v>3.4</v>
      </c>
    </row>
    <row r="616" spans="1:9" ht="15.75" customHeight="1" x14ac:dyDescent="0.25">
      <c r="A616" s="9">
        <v>521222</v>
      </c>
      <c r="B616" s="2">
        <v>85063</v>
      </c>
      <c r="C616" s="22" t="s">
        <v>686</v>
      </c>
      <c r="D616" s="6">
        <v>1</v>
      </c>
      <c r="E616" s="26">
        <v>40424.443749999999</v>
      </c>
      <c r="F616" s="11">
        <v>16.95</v>
      </c>
      <c r="G616" s="9">
        <v>17287</v>
      </c>
      <c r="H616" s="1" t="s">
        <v>9</v>
      </c>
      <c r="I616" s="3">
        <f t="shared" si="9"/>
        <v>16.95</v>
      </c>
    </row>
    <row r="617" spans="1:9" ht="15.75" customHeight="1" x14ac:dyDescent="0.25">
      <c r="A617" s="9">
        <v>530742</v>
      </c>
      <c r="B617" s="2">
        <v>21804</v>
      </c>
      <c r="C617" s="22" t="s">
        <v>687</v>
      </c>
      <c r="D617" s="6">
        <v>6</v>
      </c>
      <c r="E617" s="26">
        <v>40486.495138888888</v>
      </c>
      <c r="F617" s="11">
        <v>3.75</v>
      </c>
      <c r="G617" s="9">
        <v>14136</v>
      </c>
      <c r="H617" s="1" t="s">
        <v>9</v>
      </c>
      <c r="I617" s="3">
        <f t="shared" si="9"/>
        <v>22.5</v>
      </c>
    </row>
    <row r="618" spans="1:9" ht="15.75" customHeight="1" x14ac:dyDescent="0.25">
      <c r="A618" s="9">
        <v>509453</v>
      </c>
      <c r="B618" s="2">
        <v>22077</v>
      </c>
      <c r="C618" s="22" t="s">
        <v>196</v>
      </c>
      <c r="D618" s="6">
        <v>12</v>
      </c>
      <c r="E618" s="26">
        <v>40322.40902777778</v>
      </c>
      <c r="F618" s="11">
        <v>1.65</v>
      </c>
      <c r="G618" s="9">
        <v>13381</v>
      </c>
      <c r="H618" s="1" t="s">
        <v>9</v>
      </c>
      <c r="I618" s="3">
        <f t="shared" si="9"/>
        <v>19.799999999999997</v>
      </c>
    </row>
    <row r="619" spans="1:9" ht="15.75" customHeight="1" x14ac:dyDescent="0.25">
      <c r="A619" s="9">
        <v>501508</v>
      </c>
      <c r="B619" s="2">
        <v>20725</v>
      </c>
      <c r="C619" s="22" t="s">
        <v>688</v>
      </c>
      <c r="D619" s="6">
        <v>10</v>
      </c>
      <c r="E619" s="26">
        <v>40254.481249999997</v>
      </c>
      <c r="F619" s="11">
        <v>1.45</v>
      </c>
      <c r="G619" s="9">
        <v>17448</v>
      </c>
      <c r="H619" s="1" t="s">
        <v>9</v>
      </c>
      <c r="I619" s="3">
        <f t="shared" si="9"/>
        <v>14.5</v>
      </c>
    </row>
    <row r="620" spans="1:9" ht="15.75" customHeight="1" x14ac:dyDescent="0.25">
      <c r="A620" s="9">
        <v>529597</v>
      </c>
      <c r="B620" s="2">
        <v>21791</v>
      </c>
      <c r="C620" s="22" t="s">
        <v>689</v>
      </c>
      <c r="D620" s="6">
        <v>24</v>
      </c>
      <c r="E620" s="26">
        <v>40480.366666666669</v>
      </c>
      <c r="F620" s="11">
        <v>1.25</v>
      </c>
      <c r="G620" s="9">
        <v>17675</v>
      </c>
      <c r="H620" s="1" t="s">
        <v>9</v>
      </c>
      <c r="I620" s="3">
        <f t="shared" si="9"/>
        <v>30</v>
      </c>
    </row>
    <row r="621" spans="1:9" ht="15.75" customHeight="1" x14ac:dyDescent="0.25">
      <c r="A621" s="9">
        <v>496313</v>
      </c>
      <c r="B621" s="2">
        <v>21892</v>
      </c>
      <c r="C621" s="22" t="s">
        <v>86</v>
      </c>
      <c r="D621" s="6">
        <v>9</v>
      </c>
      <c r="E621" s="26">
        <v>40209.510416666657</v>
      </c>
      <c r="F621" s="11">
        <v>1.25</v>
      </c>
      <c r="G621" s="9">
        <v>15013</v>
      </c>
      <c r="H621" s="1" t="s">
        <v>9</v>
      </c>
      <c r="I621" s="3">
        <f t="shared" si="9"/>
        <v>11.25</v>
      </c>
    </row>
    <row r="622" spans="1:9" ht="15.75" customHeight="1" x14ac:dyDescent="0.25">
      <c r="A622" s="9">
        <v>536874</v>
      </c>
      <c r="B622" s="2" t="s">
        <v>690</v>
      </c>
      <c r="C622" s="22" t="s">
        <v>691</v>
      </c>
      <c r="D622" s="6">
        <v>1</v>
      </c>
      <c r="E622" s="26">
        <v>40515.482638888891</v>
      </c>
      <c r="F622" s="11">
        <v>0.42</v>
      </c>
      <c r="G622" s="9">
        <v>16891</v>
      </c>
      <c r="H622" s="1" t="s">
        <v>9</v>
      </c>
      <c r="I622" s="3">
        <f t="shared" si="9"/>
        <v>0.42</v>
      </c>
    </row>
    <row r="623" spans="1:9" ht="15.75" customHeight="1" x14ac:dyDescent="0.25">
      <c r="A623" s="9">
        <v>511105</v>
      </c>
      <c r="B623" s="2">
        <v>21238</v>
      </c>
      <c r="C623" s="22" t="s">
        <v>692</v>
      </c>
      <c r="D623" s="6">
        <v>8</v>
      </c>
      <c r="E623" s="26">
        <v>40336.400694444441</v>
      </c>
      <c r="F623" s="11">
        <v>0.85</v>
      </c>
      <c r="G623" s="9">
        <v>13815</v>
      </c>
      <c r="H623" s="1" t="s">
        <v>17</v>
      </c>
      <c r="I623" s="3">
        <f t="shared" si="9"/>
        <v>6.8</v>
      </c>
    </row>
    <row r="624" spans="1:9" ht="15.75" customHeight="1" x14ac:dyDescent="0.25">
      <c r="A624" s="9">
        <v>524856</v>
      </c>
      <c r="B624" s="2">
        <v>20971</v>
      </c>
      <c r="C624" s="22" t="s">
        <v>693</v>
      </c>
      <c r="D624" s="6">
        <v>4</v>
      </c>
      <c r="E624" s="26">
        <v>40451.821527777778</v>
      </c>
      <c r="F624" s="11">
        <v>1.25</v>
      </c>
      <c r="G624" s="9">
        <v>14713</v>
      </c>
      <c r="H624" s="1" t="s">
        <v>9</v>
      </c>
      <c r="I624" s="3">
        <f t="shared" si="9"/>
        <v>5</v>
      </c>
    </row>
    <row r="625" spans="1:9" ht="15.75" customHeight="1" x14ac:dyDescent="0.25">
      <c r="A625" s="9">
        <v>533293</v>
      </c>
      <c r="B625" s="2">
        <v>21212</v>
      </c>
      <c r="C625" s="22" t="s">
        <v>497</v>
      </c>
      <c r="D625" s="6">
        <v>24</v>
      </c>
      <c r="E625" s="27" t="s">
        <v>694</v>
      </c>
      <c r="F625" s="11">
        <v>0.55000000000000004</v>
      </c>
      <c r="G625" s="9">
        <v>16145</v>
      </c>
      <c r="H625" s="1" t="s">
        <v>9</v>
      </c>
      <c r="I625" s="3">
        <f t="shared" si="9"/>
        <v>13.200000000000001</v>
      </c>
    </row>
    <row r="626" spans="1:9" ht="15.75" customHeight="1" x14ac:dyDescent="0.25">
      <c r="A626" s="9">
        <v>511136</v>
      </c>
      <c r="B626" s="2">
        <v>22479</v>
      </c>
      <c r="C626" s="22" t="s">
        <v>695</v>
      </c>
      <c r="D626" s="6">
        <v>10</v>
      </c>
      <c r="E626" s="26">
        <v>40336.484722222223</v>
      </c>
      <c r="F626" s="11">
        <v>1.25</v>
      </c>
      <c r="G626" s="9">
        <v>17897</v>
      </c>
      <c r="H626" s="1" t="s">
        <v>9</v>
      </c>
      <c r="I626" s="3">
        <f t="shared" si="9"/>
        <v>12.5</v>
      </c>
    </row>
    <row r="627" spans="1:9" ht="15.75" customHeight="1" x14ac:dyDescent="0.25">
      <c r="A627" s="9">
        <v>517513</v>
      </c>
      <c r="B627" s="2">
        <v>22139</v>
      </c>
      <c r="C627" s="22" t="s">
        <v>135</v>
      </c>
      <c r="D627" s="6">
        <v>4</v>
      </c>
      <c r="E627" s="26">
        <v>40388.561111111107</v>
      </c>
      <c r="F627" s="11">
        <v>4.95</v>
      </c>
      <c r="G627" s="9">
        <v>15023</v>
      </c>
      <c r="H627" s="1" t="s">
        <v>9</v>
      </c>
      <c r="I627" s="3">
        <f t="shared" si="9"/>
        <v>19.8</v>
      </c>
    </row>
    <row r="628" spans="1:9" ht="15.75" customHeight="1" x14ac:dyDescent="0.25">
      <c r="A628" s="9">
        <v>510936</v>
      </c>
      <c r="B628" s="2">
        <v>22090</v>
      </c>
      <c r="C628" s="22" t="s">
        <v>538</v>
      </c>
      <c r="D628" s="6">
        <v>12</v>
      </c>
      <c r="E628" s="26">
        <v>40333.440972222219</v>
      </c>
      <c r="F628" s="11">
        <v>2.95</v>
      </c>
      <c r="G628" s="9">
        <v>12701</v>
      </c>
      <c r="H628" s="1" t="s">
        <v>17</v>
      </c>
      <c r="I628" s="3">
        <f t="shared" si="9"/>
        <v>35.400000000000006</v>
      </c>
    </row>
    <row r="629" spans="1:9" ht="15.75" customHeight="1" x14ac:dyDescent="0.25">
      <c r="A629" s="9">
        <v>536263</v>
      </c>
      <c r="B629" s="2">
        <v>21484</v>
      </c>
      <c r="C629" s="22" t="s">
        <v>421</v>
      </c>
      <c r="D629" s="6">
        <v>12</v>
      </c>
      <c r="E629" s="26">
        <v>40512.65347222222</v>
      </c>
      <c r="F629" s="11">
        <v>3.45</v>
      </c>
      <c r="G629" s="9">
        <v>15160</v>
      </c>
      <c r="H629" s="1" t="s">
        <v>9</v>
      </c>
      <c r="I629" s="3">
        <f t="shared" si="9"/>
        <v>41.400000000000006</v>
      </c>
    </row>
    <row r="630" spans="1:9" ht="15.75" customHeight="1" x14ac:dyDescent="0.25">
      <c r="A630" s="9">
        <v>532297</v>
      </c>
      <c r="B630" s="2">
        <v>37340</v>
      </c>
      <c r="C630" s="22" t="s">
        <v>696</v>
      </c>
      <c r="D630" s="6">
        <v>6</v>
      </c>
      <c r="E630" s="26">
        <v>40493.576388888891</v>
      </c>
      <c r="F630" s="11">
        <v>0.85</v>
      </c>
      <c r="G630" s="9">
        <v>13979</v>
      </c>
      <c r="H630" s="1" t="s">
        <v>9</v>
      </c>
      <c r="I630" s="3">
        <f t="shared" si="9"/>
        <v>5.0999999999999996</v>
      </c>
    </row>
    <row r="631" spans="1:9" ht="15.75" customHeight="1" x14ac:dyDescent="0.25">
      <c r="A631" s="9">
        <v>490158</v>
      </c>
      <c r="B631" s="2">
        <v>20679</v>
      </c>
      <c r="C631" s="22" t="s">
        <v>697</v>
      </c>
      <c r="D631" s="6">
        <v>3</v>
      </c>
      <c r="E631" s="26">
        <v>40151.449305555558</v>
      </c>
      <c r="F631" s="11">
        <v>5.95</v>
      </c>
      <c r="G631" s="9">
        <v>12759</v>
      </c>
      <c r="H631" s="1" t="s">
        <v>116</v>
      </c>
      <c r="I631" s="3">
        <f t="shared" si="9"/>
        <v>17.850000000000001</v>
      </c>
    </row>
    <row r="632" spans="1:9" ht="15.75" customHeight="1" x14ac:dyDescent="0.25">
      <c r="A632" s="9">
        <v>509965</v>
      </c>
      <c r="B632" s="2">
        <v>82582</v>
      </c>
      <c r="C632" s="22" t="s">
        <v>698</v>
      </c>
      <c r="D632" s="6">
        <v>6</v>
      </c>
      <c r="E632" s="26">
        <v>40324.553472222222</v>
      </c>
      <c r="F632" s="11" t="s">
        <v>190</v>
      </c>
      <c r="G632" s="9">
        <v>15078</v>
      </c>
      <c r="H632" s="1" t="s">
        <v>9</v>
      </c>
      <c r="I632" s="3">
        <f t="shared" si="9"/>
        <v>12.600000000000001</v>
      </c>
    </row>
    <row r="633" spans="1:9" ht="15.75" customHeight="1" x14ac:dyDescent="0.25">
      <c r="A633" s="9">
        <v>536856</v>
      </c>
      <c r="B633" s="2">
        <v>22697</v>
      </c>
      <c r="C633" s="22" t="s">
        <v>699</v>
      </c>
      <c r="D633" s="6">
        <v>6</v>
      </c>
      <c r="E633" s="26">
        <v>40515.43472222222</v>
      </c>
      <c r="F633" s="11">
        <v>2.95</v>
      </c>
      <c r="G633" s="9">
        <v>13370</v>
      </c>
      <c r="H633" s="1" t="s">
        <v>9</v>
      </c>
      <c r="I633" s="3">
        <f t="shared" si="9"/>
        <v>17.700000000000003</v>
      </c>
    </row>
    <row r="634" spans="1:9" ht="15.75" customHeight="1" x14ac:dyDescent="0.25">
      <c r="A634" s="9">
        <v>535283</v>
      </c>
      <c r="B634" s="2">
        <v>85175</v>
      </c>
      <c r="C634" s="22" t="s">
        <v>700</v>
      </c>
      <c r="D634" s="6">
        <v>16</v>
      </c>
      <c r="E634" s="26">
        <v>40507.595833333333</v>
      </c>
      <c r="F634" s="11">
        <v>0.42</v>
      </c>
      <c r="G634" s="9">
        <v>14443</v>
      </c>
      <c r="H634" s="1" t="s">
        <v>9</v>
      </c>
      <c r="I634" s="3">
        <f t="shared" si="9"/>
        <v>6.72</v>
      </c>
    </row>
    <row r="635" spans="1:9" ht="15.75" customHeight="1" x14ac:dyDescent="0.25">
      <c r="A635" s="9">
        <v>519610</v>
      </c>
      <c r="B635" s="2" t="s">
        <v>701</v>
      </c>
      <c r="C635" s="22" t="s">
        <v>702</v>
      </c>
      <c r="D635" s="6">
        <v>9</v>
      </c>
      <c r="E635" s="26">
        <v>40408.70416666667</v>
      </c>
      <c r="F635" s="11">
        <v>1.25</v>
      </c>
      <c r="G635" s="9">
        <v>15494</v>
      </c>
      <c r="H635" s="1" t="s">
        <v>9</v>
      </c>
      <c r="I635" s="3">
        <f t="shared" si="9"/>
        <v>11.25</v>
      </c>
    </row>
    <row r="636" spans="1:9" ht="15.75" customHeight="1" x14ac:dyDescent="0.25">
      <c r="A636" s="9">
        <v>512657</v>
      </c>
      <c r="B636" s="2">
        <v>21446</v>
      </c>
      <c r="C636" s="22" t="s">
        <v>703</v>
      </c>
      <c r="D636" s="6">
        <v>1</v>
      </c>
      <c r="E636" s="26">
        <v>40346.474305555559</v>
      </c>
      <c r="F636" s="11">
        <v>1.25</v>
      </c>
      <c r="G636" s="9" t="s">
        <v>704</v>
      </c>
      <c r="H636" s="1" t="s">
        <v>9</v>
      </c>
      <c r="I636" s="3">
        <f t="shared" si="9"/>
        <v>1.25</v>
      </c>
    </row>
    <row r="637" spans="1:9" ht="15.75" customHeight="1" x14ac:dyDescent="0.25">
      <c r="A637" s="9">
        <v>529339</v>
      </c>
      <c r="B637" s="2" t="s">
        <v>705</v>
      </c>
      <c r="C637" s="22" t="s">
        <v>706</v>
      </c>
      <c r="D637" s="6">
        <v>1</v>
      </c>
      <c r="E637" s="26">
        <v>40478.682638888888</v>
      </c>
      <c r="F637" s="11">
        <v>0.85</v>
      </c>
      <c r="G637" s="9">
        <v>16382</v>
      </c>
      <c r="H637" s="1" t="s">
        <v>9</v>
      </c>
      <c r="I637" s="3">
        <f t="shared" si="9"/>
        <v>0.85</v>
      </c>
    </row>
    <row r="638" spans="1:9" ht="15.75" customHeight="1" x14ac:dyDescent="0.25">
      <c r="A638" s="9">
        <v>514676</v>
      </c>
      <c r="B638" s="2">
        <v>22196</v>
      </c>
      <c r="C638" s="22" t="s">
        <v>62</v>
      </c>
      <c r="D638" s="6">
        <v>1</v>
      </c>
      <c r="E638" s="26">
        <v>40364.56527777778</v>
      </c>
      <c r="F638" s="11">
        <v>0.85</v>
      </c>
      <c r="G638" s="9">
        <v>14606</v>
      </c>
      <c r="H638" s="1" t="s">
        <v>9</v>
      </c>
      <c r="I638" s="3">
        <f t="shared" si="9"/>
        <v>0.85</v>
      </c>
    </row>
    <row r="639" spans="1:9" ht="15.75" customHeight="1" x14ac:dyDescent="0.25">
      <c r="A639" s="9" t="s">
        <v>707</v>
      </c>
      <c r="B639" s="2">
        <v>21658</v>
      </c>
      <c r="C639" s="22" t="s">
        <v>210</v>
      </c>
      <c r="D639" s="6">
        <v>-1</v>
      </c>
      <c r="E639" s="26">
        <v>40518.553472222222</v>
      </c>
      <c r="F639" s="11">
        <v>3.95</v>
      </c>
      <c r="G639" s="9">
        <v>16550</v>
      </c>
      <c r="H639" s="1" t="s">
        <v>9</v>
      </c>
      <c r="I639" s="3">
        <f t="shared" si="9"/>
        <v>-3.95</v>
      </c>
    </row>
    <row r="640" spans="1:9" ht="15.75" customHeight="1" x14ac:dyDescent="0.25">
      <c r="A640" s="9">
        <v>514165</v>
      </c>
      <c r="B640" s="2">
        <v>21915</v>
      </c>
      <c r="C640" s="22" t="s">
        <v>347</v>
      </c>
      <c r="D640" s="6">
        <v>12</v>
      </c>
      <c r="E640" s="26">
        <v>40359.649305555547</v>
      </c>
      <c r="F640" s="11">
        <v>1.25</v>
      </c>
      <c r="G640" s="9">
        <v>12714</v>
      </c>
      <c r="H640" s="1" t="s">
        <v>28</v>
      </c>
      <c r="I640" s="3">
        <f t="shared" si="9"/>
        <v>15</v>
      </c>
    </row>
    <row r="641" spans="1:9" ht="15.75" customHeight="1" x14ac:dyDescent="0.25">
      <c r="A641" s="9">
        <v>536623</v>
      </c>
      <c r="B641" s="2">
        <v>22431</v>
      </c>
      <c r="C641" s="22" t="s">
        <v>477</v>
      </c>
      <c r="D641" s="6">
        <v>6</v>
      </c>
      <c r="E641" s="26">
        <v>40514.443749999999</v>
      </c>
      <c r="F641" s="11">
        <v>1.95</v>
      </c>
      <c r="G641" s="9">
        <v>15601</v>
      </c>
      <c r="H641" s="1" t="s">
        <v>9</v>
      </c>
      <c r="I641" s="3">
        <f t="shared" si="9"/>
        <v>11.7</v>
      </c>
    </row>
    <row r="642" spans="1:9" ht="15.75" customHeight="1" x14ac:dyDescent="0.25">
      <c r="A642" s="9">
        <v>495185</v>
      </c>
      <c r="B642" s="2">
        <v>85187</v>
      </c>
      <c r="C642" s="22" t="s">
        <v>709</v>
      </c>
      <c r="D642" s="6">
        <v>12</v>
      </c>
      <c r="E642" s="26">
        <v>40199.584027777782</v>
      </c>
      <c r="F642" s="11">
        <v>1.65</v>
      </c>
      <c r="G642" s="9">
        <v>14439</v>
      </c>
      <c r="H642" s="1" t="s">
        <v>339</v>
      </c>
      <c r="I642" s="3">
        <f t="shared" ref="I642:I705" si="10">(D642 *F642)</f>
        <v>19.799999999999997</v>
      </c>
    </row>
    <row r="643" spans="1:9" ht="15.75" customHeight="1" x14ac:dyDescent="0.25">
      <c r="A643" s="9">
        <v>493375</v>
      </c>
      <c r="B643" s="2">
        <v>21691</v>
      </c>
      <c r="C643" s="22" t="s">
        <v>710</v>
      </c>
      <c r="D643" s="6" t="s">
        <v>711</v>
      </c>
      <c r="E643" s="26">
        <v>40170.504861111112</v>
      </c>
      <c r="F643" s="11">
        <v>3.75</v>
      </c>
      <c r="G643" s="9">
        <v>15514</v>
      </c>
      <c r="H643" s="1" t="s">
        <v>9</v>
      </c>
      <c r="I643" s="3">
        <f t="shared" si="10"/>
        <v>7.5</v>
      </c>
    </row>
    <row r="644" spans="1:9" ht="15.75" customHeight="1" x14ac:dyDescent="0.25">
      <c r="A644" s="9">
        <v>495706</v>
      </c>
      <c r="B644" s="2" t="s">
        <v>712</v>
      </c>
      <c r="C644" s="22" t="s">
        <v>713</v>
      </c>
      <c r="D644" s="6">
        <v>1</v>
      </c>
      <c r="E644" s="26">
        <v>40204.544444444437</v>
      </c>
      <c r="F644" s="11">
        <v>4.25</v>
      </c>
      <c r="G644" s="9">
        <v>15003</v>
      </c>
      <c r="H644" s="1" t="s">
        <v>9</v>
      </c>
      <c r="I644" s="3">
        <f t="shared" si="10"/>
        <v>4.25</v>
      </c>
    </row>
    <row r="645" spans="1:9" ht="15.75" customHeight="1" x14ac:dyDescent="0.25">
      <c r="A645" s="9">
        <v>536408</v>
      </c>
      <c r="B645" s="2">
        <v>22619</v>
      </c>
      <c r="C645" s="22" t="s">
        <v>714</v>
      </c>
      <c r="D645" s="6">
        <v>4</v>
      </c>
      <c r="E645" s="26">
        <v>40513.486805555563</v>
      </c>
      <c r="F645" s="11">
        <v>3.75</v>
      </c>
      <c r="G645" s="9">
        <v>14307</v>
      </c>
      <c r="H645" s="1" t="s">
        <v>9</v>
      </c>
      <c r="I645" s="3">
        <f t="shared" si="10"/>
        <v>15</v>
      </c>
    </row>
    <row r="646" spans="1:9" ht="15.75" customHeight="1" x14ac:dyDescent="0.25">
      <c r="A646" s="9">
        <v>535803</v>
      </c>
      <c r="B646" s="2">
        <v>22988</v>
      </c>
      <c r="C646" s="22" t="s">
        <v>715</v>
      </c>
      <c r="D646" s="6">
        <v>24</v>
      </c>
      <c r="E646" s="26">
        <v>40510.622916666667</v>
      </c>
      <c r="F646" s="11">
        <v>1.25</v>
      </c>
      <c r="G646" s="9">
        <v>14410</v>
      </c>
      <c r="H646" s="1" t="s">
        <v>9</v>
      </c>
      <c r="I646" s="3">
        <f t="shared" si="10"/>
        <v>30</v>
      </c>
    </row>
    <row r="647" spans="1:9" ht="15.75" customHeight="1" x14ac:dyDescent="0.25">
      <c r="A647" s="9">
        <v>521546</v>
      </c>
      <c r="B647" s="2">
        <v>22588</v>
      </c>
      <c r="C647" s="22" t="s">
        <v>273</v>
      </c>
      <c r="D647" s="6">
        <v>6</v>
      </c>
      <c r="E647" s="26">
        <v>40427.644444444442</v>
      </c>
      <c r="F647" s="11">
        <v>2.5499999999999998</v>
      </c>
      <c r="G647" s="9">
        <v>13769</v>
      </c>
      <c r="H647" s="1" t="s">
        <v>9</v>
      </c>
      <c r="I647" s="3">
        <f t="shared" si="10"/>
        <v>15.299999999999999</v>
      </c>
    </row>
    <row r="648" spans="1:9" ht="15.75" customHeight="1" x14ac:dyDescent="0.25">
      <c r="A648" s="9">
        <v>516788</v>
      </c>
      <c r="B648" s="2">
        <v>20914</v>
      </c>
      <c r="C648" s="22" t="s">
        <v>78</v>
      </c>
      <c r="D648" s="6">
        <v>32</v>
      </c>
      <c r="E648" s="26">
        <v>40382.416666666657</v>
      </c>
      <c r="F648" s="11">
        <v>2.5499999999999998</v>
      </c>
      <c r="G648" s="9">
        <v>16843</v>
      </c>
      <c r="H648" s="1" t="s">
        <v>9</v>
      </c>
      <c r="I648" s="3">
        <f t="shared" si="10"/>
        <v>81.599999999999994</v>
      </c>
    </row>
    <row r="649" spans="1:9" ht="15.75" customHeight="1" x14ac:dyDescent="0.25">
      <c r="A649" s="9">
        <v>494870</v>
      </c>
      <c r="B649" s="2" t="s">
        <v>577</v>
      </c>
      <c r="C649" s="22" t="s">
        <v>578</v>
      </c>
      <c r="D649" s="6">
        <v>12</v>
      </c>
      <c r="E649" s="26">
        <v>40197.510416666657</v>
      </c>
      <c r="F649" s="11">
        <v>0.85</v>
      </c>
      <c r="G649" s="9">
        <v>15998</v>
      </c>
      <c r="H649" s="1" t="s">
        <v>9</v>
      </c>
      <c r="I649" s="3">
        <f t="shared" si="10"/>
        <v>10.199999999999999</v>
      </c>
    </row>
    <row r="650" spans="1:9" ht="15.75" customHeight="1" x14ac:dyDescent="0.25">
      <c r="A650" s="9">
        <v>490156</v>
      </c>
      <c r="B650" s="2">
        <v>84692</v>
      </c>
      <c r="C650" s="22" t="s">
        <v>716</v>
      </c>
      <c r="D650" s="6">
        <v>50</v>
      </c>
      <c r="E650" s="26">
        <v>40151.438888888893</v>
      </c>
      <c r="F650" s="11">
        <v>0.42</v>
      </c>
      <c r="G650" s="9">
        <v>13093</v>
      </c>
      <c r="H650" s="1" t="s">
        <v>9</v>
      </c>
      <c r="I650" s="3">
        <f t="shared" si="10"/>
        <v>21</v>
      </c>
    </row>
    <row r="651" spans="1:9" ht="15.75" customHeight="1" x14ac:dyDescent="0.25">
      <c r="A651" s="9">
        <v>494632</v>
      </c>
      <c r="B651" s="2">
        <v>21213</v>
      </c>
      <c r="C651" s="22" t="s">
        <v>243</v>
      </c>
      <c r="D651" s="6">
        <v>24</v>
      </c>
      <c r="E651" s="27" t="s">
        <v>717</v>
      </c>
      <c r="F651" s="11" t="s">
        <v>718</v>
      </c>
      <c r="G651" s="9">
        <v>15633</v>
      </c>
      <c r="H651" s="1" t="s">
        <v>9</v>
      </c>
      <c r="I651" s="3">
        <f t="shared" si="10"/>
        <v>13.200000000000001</v>
      </c>
    </row>
    <row r="652" spans="1:9" ht="15.75" customHeight="1" x14ac:dyDescent="0.25">
      <c r="A652" s="9">
        <v>520196</v>
      </c>
      <c r="B652" s="2" t="s">
        <v>719</v>
      </c>
      <c r="C652" s="22" t="s">
        <v>720</v>
      </c>
      <c r="D652" s="6">
        <v>3</v>
      </c>
      <c r="E652" s="26">
        <v>40414.624305555553</v>
      </c>
      <c r="F652" s="11">
        <v>3.75</v>
      </c>
      <c r="G652" s="9">
        <v>16161</v>
      </c>
      <c r="H652" s="1" t="s">
        <v>9</v>
      </c>
      <c r="I652" s="3">
        <f t="shared" si="10"/>
        <v>11.25</v>
      </c>
    </row>
    <row r="653" spans="1:9" ht="15.75" customHeight="1" x14ac:dyDescent="0.25">
      <c r="A653" s="9">
        <v>496288</v>
      </c>
      <c r="B653" s="2">
        <v>21700</v>
      </c>
      <c r="C653" s="22" t="s">
        <v>721</v>
      </c>
      <c r="D653" s="6">
        <v>12</v>
      </c>
      <c r="E653" s="26">
        <v>40207.725694444453</v>
      </c>
      <c r="F653" s="11">
        <v>0.85</v>
      </c>
      <c r="G653" s="9">
        <v>17603</v>
      </c>
      <c r="H653" s="1" t="s">
        <v>9</v>
      </c>
      <c r="I653" s="3">
        <f t="shared" si="10"/>
        <v>10.199999999999999</v>
      </c>
    </row>
    <row r="654" spans="1:9" ht="15.75" customHeight="1" x14ac:dyDescent="0.25">
      <c r="A654" s="9">
        <v>510546</v>
      </c>
      <c r="B654" s="2">
        <v>84674</v>
      </c>
      <c r="C654" s="22" t="s">
        <v>722</v>
      </c>
      <c r="D654" s="6">
        <v>2</v>
      </c>
      <c r="E654" s="26">
        <v>40330.65625</v>
      </c>
      <c r="F654" s="11">
        <v>2.95</v>
      </c>
      <c r="G654" s="9">
        <v>13110</v>
      </c>
      <c r="H654" s="1" t="s">
        <v>9</v>
      </c>
      <c r="I654" s="3">
        <f t="shared" si="10"/>
        <v>5.9</v>
      </c>
    </row>
    <row r="655" spans="1:9" ht="15.75" customHeight="1" x14ac:dyDescent="0.25">
      <c r="A655" s="9">
        <v>508483</v>
      </c>
      <c r="B655" s="2" t="s">
        <v>395</v>
      </c>
      <c r="C655" s="22" t="s">
        <v>401</v>
      </c>
      <c r="D655" s="6">
        <v>1</v>
      </c>
      <c r="E655" s="26">
        <v>40314.535416666673</v>
      </c>
      <c r="F655" s="11">
        <v>3.75</v>
      </c>
      <c r="G655" s="9">
        <v>17841</v>
      </c>
      <c r="H655" s="1" t="s">
        <v>9</v>
      </c>
      <c r="I655" s="3">
        <f t="shared" si="10"/>
        <v>3.75</v>
      </c>
    </row>
    <row r="656" spans="1:9" ht="15.75" customHeight="1" x14ac:dyDescent="0.25">
      <c r="A656" s="9">
        <v>496977</v>
      </c>
      <c r="B656" s="2">
        <v>82600</v>
      </c>
      <c r="C656" s="22" t="s">
        <v>268</v>
      </c>
      <c r="D656" s="6">
        <v>12</v>
      </c>
      <c r="E656" s="26">
        <v>40214.40902777778</v>
      </c>
      <c r="F656" s="11">
        <v>2.1</v>
      </c>
      <c r="G656" s="9">
        <v>13823</v>
      </c>
      <c r="H656" s="1" t="s">
        <v>9</v>
      </c>
      <c r="I656" s="3">
        <f t="shared" si="10"/>
        <v>25.200000000000003</v>
      </c>
    </row>
    <row r="657" spans="1:9" ht="15.75" customHeight="1" x14ac:dyDescent="0.25">
      <c r="A657" s="9">
        <v>509151</v>
      </c>
      <c r="B657" s="2" t="s">
        <v>723</v>
      </c>
      <c r="C657" s="22" t="s">
        <v>724</v>
      </c>
      <c r="D657" s="6">
        <v>1</v>
      </c>
      <c r="E657" s="26">
        <v>40318.54583333333</v>
      </c>
      <c r="F657" s="11">
        <v>2.95</v>
      </c>
      <c r="G657" s="9">
        <v>14606</v>
      </c>
      <c r="H657" s="1" t="s">
        <v>9</v>
      </c>
      <c r="I657" s="3">
        <f t="shared" si="10"/>
        <v>2.95</v>
      </c>
    </row>
    <row r="658" spans="1:9" ht="15.75" customHeight="1" x14ac:dyDescent="0.25">
      <c r="A658" s="9">
        <v>514630</v>
      </c>
      <c r="B658" s="2">
        <v>82581</v>
      </c>
      <c r="C658" s="22" t="s">
        <v>725</v>
      </c>
      <c r="D658" s="6">
        <v>6</v>
      </c>
      <c r="E658" s="26">
        <v>40364.523611111108</v>
      </c>
      <c r="F658" s="11">
        <v>0.55000000000000004</v>
      </c>
      <c r="G658" s="9">
        <v>16458</v>
      </c>
      <c r="H658" s="1" t="s">
        <v>9</v>
      </c>
      <c r="I658" s="3">
        <f t="shared" si="10"/>
        <v>3.3000000000000003</v>
      </c>
    </row>
    <row r="659" spans="1:9" ht="15.75" customHeight="1" x14ac:dyDescent="0.25">
      <c r="A659" s="9">
        <v>508484</v>
      </c>
      <c r="B659" s="2">
        <v>22061</v>
      </c>
      <c r="C659" s="22" t="s">
        <v>473</v>
      </c>
      <c r="D659" s="6">
        <v>1</v>
      </c>
      <c r="E659" s="26">
        <v>40314.537499999999</v>
      </c>
      <c r="F659" s="11">
        <v>9.9499999999999993</v>
      </c>
      <c r="G659" s="9">
        <v>17582</v>
      </c>
      <c r="H659" s="1" t="s">
        <v>9</v>
      </c>
      <c r="I659" s="3">
        <f t="shared" si="10"/>
        <v>9.9499999999999993</v>
      </c>
    </row>
    <row r="660" spans="1:9" ht="15.75" customHeight="1" x14ac:dyDescent="0.25">
      <c r="A660" s="9">
        <v>498132</v>
      </c>
      <c r="B660" s="2">
        <v>21410</v>
      </c>
      <c r="C660" s="22" t="s">
        <v>726</v>
      </c>
      <c r="D660" s="6">
        <v>1</v>
      </c>
      <c r="E660" s="26">
        <v>40225.703472222223</v>
      </c>
      <c r="F660" s="11">
        <v>4.25</v>
      </c>
      <c r="G660" s="9">
        <v>16774</v>
      </c>
      <c r="H660" s="1" t="s">
        <v>9</v>
      </c>
      <c r="I660" s="3">
        <f t="shared" si="10"/>
        <v>4.25</v>
      </c>
    </row>
    <row r="661" spans="1:9" ht="15.75" customHeight="1" x14ac:dyDescent="0.25">
      <c r="A661" s="9">
        <v>529547</v>
      </c>
      <c r="B661" s="2">
        <v>21212</v>
      </c>
      <c r="C661" s="22" t="s">
        <v>497</v>
      </c>
      <c r="D661" s="6">
        <v>24</v>
      </c>
      <c r="E661" s="26">
        <v>40479.717361111107</v>
      </c>
      <c r="F661" s="11">
        <v>0.55000000000000004</v>
      </c>
      <c r="G661" s="9">
        <v>14276</v>
      </c>
      <c r="H661" s="1" t="s">
        <v>9</v>
      </c>
      <c r="I661" s="3">
        <f t="shared" si="10"/>
        <v>13.200000000000001</v>
      </c>
    </row>
    <row r="662" spans="1:9" ht="15.75" customHeight="1" x14ac:dyDescent="0.25">
      <c r="A662" s="9">
        <v>536235</v>
      </c>
      <c r="B662" s="2">
        <v>20655</v>
      </c>
      <c r="C662" s="22" t="s">
        <v>727</v>
      </c>
      <c r="D662" s="6">
        <v>2</v>
      </c>
      <c r="E662" s="26">
        <v>40512.597916666673</v>
      </c>
      <c r="F662" s="11" t="s">
        <v>42</v>
      </c>
      <c r="G662" s="9">
        <v>18101</v>
      </c>
      <c r="H662" s="1" t="s">
        <v>9</v>
      </c>
      <c r="I662" s="3">
        <f t="shared" si="10"/>
        <v>2.5</v>
      </c>
    </row>
    <row r="663" spans="1:9" ht="15.75" customHeight="1" x14ac:dyDescent="0.25">
      <c r="A663" s="9">
        <v>523065</v>
      </c>
      <c r="B663" s="2">
        <v>21486</v>
      </c>
      <c r="C663" s="22" t="s">
        <v>728</v>
      </c>
      <c r="D663" s="6">
        <v>2</v>
      </c>
      <c r="E663" s="26">
        <v>40441.503472222219</v>
      </c>
      <c r="F663" s="11">
        <v>3.75</v>
      </c>
      <c r="G663" s="9">
        <v>16919</v>
      </c>
      <c r="H663" s="1" t="s">
        <v>9</v>
      </c>
      <c r="I663" s="3">
        <f t="shared" si="10"/>
        <v>7.5</v>
      </c>
    </row>
    <row r="664" spans="1:9" ht="15.75" customHeight="1" x14ac:dyDescent="0.25">
      <c r="A664" s="9">
        <v>491717</v>
      </c>
      <c r="B664" s="2" t="s">
        <v>729</v>
      </c>
      <c r="C664" s="22" t="s">
        <v>730</v>
      </c>
      <c r="D664" s="6">
        <v>1</v>
      </c>
      <c r="E664" s="26">
        <v>40160.662499999999</v>
      </c>
      <c r="F664" s="11">
        <v>1.25</v>
      </c>
      <c r="G664" s="9">
        <v>16725</v>
      </c>
      <c r="H664" s="1" t="s">
        <v>9</v>
      </c>
      <c r="I664" s="3">
        <f t="shared" si="10"/>
        <v>1.25</v>
      </c>
    </row>
    <row r="665" spans="1:9" ht="15.75" customHeight="1" x14ac:dyDescent="0.25">
      <c r="A665" s="9">
        <v>512411</v>
      </c>
      <c r="B665" s="2">
        <v>21777</v>
      </c>
      <c r="C665" s="22" t="s">
        <v>14</v>
      </c>
      <c r="D665" s="6">
        <v>48</v>
      </c>
      <c r="E665" s="26">
        <v>40344.554861111108</v>
      </c>
      <c r="F665" s="11">
        <v>6.95</v>
      </c>
      <c r="G665" s="9">
        <v>14156</v>
      </c>
      <c r="H665" s="1" t="s">
        <v>978</v>
      </c>
      <c r="I665" s="3">
        <f t="shared" si="10"/>
        <v>333.6</v>
      </c>
    </row>
    <row r="666" spans="1:9" ht="15.75" customHeight="1" x14ac:dyDescent="0.25">
      <c r="A666" s="9">
        <v>526889</v>
      </c>
      <c r="B666" s="2" t="s">
        <v>701</v>
      </c>
      <c r="C666" s="22" t="s">
        <v>702</v>
      </c>
      <c r="D666" s="6">
        <v>11</v>
      </c>
      <c r="E666" s="26">
        <v>40464.61041666667</v>
      </c>
      <c r="F666" s="11">
        <v>1.25</v>
      </c>
      <c r="G666" s="9">
        <v>14667</v>
      </c>
      <c r="H666" s="1" t="s">
        <v>9</v>
      </c>
      <c r="I666" s="3">
        <f t="shared" si="10"/>
        <v>13.75</v>
      </c>
    </row>
    <row r="667" spans="1:9" ht="15.75" customHeight="1" x14ac:dyDescent="0.25">
      <c r="A667" s="9">
        <v>521901</v>
      </c>
      <c r="B667" s="2">
        <v>21989</v>
      </c>
      <c r="C667" s="22" t="s">
        <v>731</v>
      </c>
      <c r="D667" s="6">
        <v>3</v>
      </c>
      <c r="E667" s="26">
        <v>40430.525694444441</v>
      </c>
      <c r="F667" s="11">
        <v>0.85</v>
      </c>
      <c r="G667" s="9">
        <v>14688</v>
      </c>
      <c r="H667" s="1" t="s">
        <v>9</v>
      </c>
      <c r="I667" s="3">
        <f t="shared" si="10"/>
        <v>2.5499999999999998</v>
      </c>
    </row>
    <row r="668" spans="1:9" ht="15.75" customHeight="1" x14ac:dyDescent="0.25">
      <c r="A668" s="9">
        <v>526484</v>
      </c>
      <c r="B668" s="2">
        <v>22403</v>
      </c>
      <c r="C668" s="22" t="s">
        <v>732</v>
      </c>
      <c r="D668" s="6">
        <v>12</v>
      </c>
      <c r="E668" s="26">
        <v>40463.325694444437</v>
      </c>
      <c r="F668" s="11">
        <v>1.25</v>
      </c>
      <c r="G668" s="9">
        <v>17710</v>
      </c>
      <c r="H668" s="1" t="s">
        <v>9</v>
      </c>
      <c r="I668" s="3">
        <f t="shared" si="10"/>
        <v>15</v>
      </c>
    </row>
    <row r="669" spans="1:9" ht="15.75" customHeight="1" x14ac:dyDescent="0.25">
      <c r="A669" s="9">
        <v>514563</v>
      </c>
      <c r="B669" s="2">
        <v>22411</v>
      </c>
      <c r="C669" s="22" t="s">
        <v>206</v>
      </c>
      <c r="D669" s="6">
        <v>10</v>
      </c>
      <c r="E669" s="26">
        <v>40364.491666666669</v>
      </c>
      <c r="F669" s="11">
        <v>1.95</v>
      </c>
      <c r="G669" s="9">
        <v>15039</v>
      </c>
      <c r="H669" s="1" t="s">
        <v>9</v>
      </c>
      <c r="I669" s="3">
        <f t="shared" si="10"/>
        <v>19.5</v>
      </c>
    </row>
    <row r="670" spans="1:9" ht="15.75" customHeight="1" x14ac:dyDescent="0.25">
      <c r="A670" s="9">
        <v>526388</v>
      </c>
      <c r="B670" s="2">
        <v>21669</v>
      </c>
      <c r="C670" s="22" t="s">
        <v>733</v>
      </c>
      <c r="D670" s="6">
        <v>1</v>
      </c>
      <c r="E670" s="26">
        <v>40462.536111111112</v>
      </c>
      <c r="F670" s="11">
        <v>1.25</v>
      </c>
      <c r="G670" s="9">
        <v>17264</v>
      </c>
      <c r="H670" s="1" t="s">
        <v>9</v>
      </c>
      <c r="I670" s="3">
        <f t="shared" si="10"/>
        <v>1.25</v>
      </c>
    </row>
    <row r="671" spans="1:9" ht="15.75" customHeight="1" x14ac:dyDescent="0.25">
      <c r="A671" s="9">
        <v>513615</v>
      </c>
      <c r="B671" s="2">
        <v>21843</v>
      </c>
      <c r="C671" s="22" t="s">
        <v>734</v>
      </c>
      <c r="D671" s="6">
        <v>2</v>
      </c>
      <c r="E671" s="26">
        <v>40356.517361111109</v>
      </c>
      <c r="F671" s="11">
        <v>10.95</v>
      </c>
      <c r="G671" s="9">
        <v>15998</v>
      </c>
      <c r="H671" s="1" t="s">
        <v>9</v>
      </c>
      <c r="I671" s="3">
        <f t="shared" si="10"/>
        <v>21.9</v>
      </c>
    </row>
    <row r="672" spans="1:9" ht="15.75" customHeight="1" x14ac:dyDescent="0.25">
      <c r="A672" s="9">
        <v>514511</v>
      </c>
      <c r="B672" s="2">
        <v>21982</v>
      </c>
      <c r="C672" s="22" t="s">
        <v>735</v>
      </c>
      <c r="D672" s="6">
        <v>12</v>
      </c>
      <c r="E672" s="26">
        <v>40363.563194444447</v>
      </c>
      <c r="F672" s="11">
        <v>0.28999999999999998</v>
      </c>
      <c r="G672" s="9">
        <v>16032</v>
      </c>
      <c r="H672" s="1" t="s">
        <v>9</v>
      </c>
      <c r="I672" s="3">
        <f t="shared" si="10"/>
        <v>3.4799999999999995</v>
      </c>
    </row>
    <row r="673" spans="1:9" ht="15.75" customHeight="1" x14ac:dyDescent="0.25">
      <c r="A673" s="9">
        <v>498095</v>
      </c>
      <c r="B673" s="2">
        <v>22318</v>
      </c>
      <c r="C673" s="22" t="s">
        <v>10</v>
      </c>
      <c r="D673" s="6">
        <v>4</v>
      </c>
      <c r="E673" s="26">
        <v>40225.534722222219</v>
      </c>
      <c r="F673" s="11">
        <v>2.95</v>
      </c>
      <c r="G673" s="9">
        <v>16940</v>
      </c>
      <c r="H673" s="1" t="s">
        <v>9</v>
      </c>
      <c r="I673" s="3">
        <f t="shared" si="10"/>
        <v>11.8</v>
      </c>
    </row>
    <row r="674" spans="1:9" ht="15.75" customHeight="1" x14ac:dyDescent="0.25">
      <c r="A674" s="9">
        <v>507405</v>
      </c>
      <c r="B674" s="2">
        <v>72741</v>
      </c>
      <c r="C674" s="22" t="s">
        <v>397</v>
      </c>
      <c r="D674" s="6">
        <v>18</v>
      </c>
      <c r="E674" s="26">
        <v>40307.572222222218</v>
      </c>
      <c r="F674" s="11">
        <v>1.45</v>
      </c>
      <c r="G674" s="9">
        <v>15109</v>
      </c>
      <c r="H674" s="1" t="s">
        <v>9</v>
      </c>
      <c r="I674" s="3">
        <f t="shared" si="10"/>
        <v>26.099999999999998</v>
      </c>
    </row>
    <row r="675" spans="1:9" ht="15.75" customHeight="1" x14ac:dyDescent="0.25">
      <c r="A675" s="9">
        <v>512949</v>
      </c>
      <c r="B675" s="2">
        <v>21034</v>
      </c>
      <c r="C675" s="22" t="s">
        <v>414</v>
      </c>
      <c r="D675" s="6">
        <v>1</v>
      </c>
      <c r="E675" s="26">
        <v>40349.67083333333</v>
      </c>
      <c r="F675" s="11">
        <v>0.95</v>
      </c>
      <c r="G675" s="9">
        <v>15555</v>
      </c>
      <c r="H675" s="1" t="s">
        <v>9</v>
      </c>
      <c r="I675" s="3">
        <f t="shared" si="10"/>
        <v>0.95</v>
      </c>
    </row>
    <row r="676" spans="1:9" ht="15.75" customHeight="1" x14ac:dyDescent="0.25">
      <c r="A676" s="9">
        <v>506873</v>
      </c>
      <c r="B676" s="2">
        <v>85060</v>
      </c>
      <c r="C676" s="22" t="s">
        <v>736</v>
      </c>
      <c r="D676" s="6">
        <v>24</v>
      </c>
      <c r="E676" s="26">
        <v>40302.679166666669</v>
      </c>
      <c r="F676" s="11">
        <v>1.25</v>
      </c>
      <c r="G676" s="9">
        <v>17188</v>
      </c>
      <c r="H676" s="1" t="s">
        <v>9</v>
      </c>
      <c r="I676" s="3">
        <f t="shared" si="10"/>
        <v>30</v>
      </c>
    </row>
    <row r="677" spans="1:9" ht="15.75" customHeight="1" x14ac:dyDescent="0.25">
      <c r="A677" s="9">
        <v>536214</v>
      </c>
      <c r="B677" s="2">
        <v>22149</v>
      </c>
      <c r="C677" s="22" t="s">
        <v>450</v>
      </c>
      <c r="D677" s="6">
        <v>6</v>
      </c>
      <c r="E677" s="26">
        <v>40512.56527777778</v>
      </c>
      <c r="F677" s="11">
        <v>2.1</v>
      </c>
      <c r="G677" s="9">
        <v>16600</v>
      </c>
      <c r="H677" s="1" t="s">
        <v>9</v>
      </c>
      <c r="I677" s="3">
        <f t="shared" si="10"/>
        <v>12.600000000000001</v>
      </c>
    </row>
    <row r="678" spans="1:9" ht="15.75" customHeight="1" x14ac:dyDescent="0.25">
      <c r="A678" s="9" t="s">
        <v>737</v>
      </c>
      <c r="B678" s="2" t="s">
        <v>738</v>
      </c>
      <c r="C678" s="22" t="s">
        <v>739</v>
      </c>
      <c r="D678" s="6">
        <v>-1</v>
      </c>
      <c r="E678" s="26">
        <v>40280.374305555553</v>
      </c>
      <c r="F678" s="11">
        <v>4.25</v>
      </c>
      <c r="G678" s="9">
        <v>16554</v>
      </c>
      <c r="H678" s="1" t="s">
        <v>9</v>
      </c>
      <c r="I678" s="3">
        <f t="shared" si="10"/>
        <v>-4.25</v>
      </c>
    </row>
    <row r="679" spans="1:9" ht="15.75" customHeight="1" x14ac:dyDescent="0.25">
      <c r="A679" s="9">
        <v>490685</v>
      </c>
      <c r="B679" s="2" t="s">
        <v>740</v>
      </c>
      <c r="C679" s="22" t="s">
        <v>741</v>
      </c>
      <c r="D679" s="6">
        <v>32</v>
      </c>
      <c r="E679" s="26">
        <v>40154.574999999997</v>
      </c>
      <c r="F679" s="11">
        <v>1.95</v>
      </c>
      <c r="G679" s="9">
        <v>13206</v>
      </c>
      <c r="H679" s="1" t="s">
        <v>9</v>
      </c>
      <c r="I679" s="3">
        <f t="shared" si="10"/>
        <v>62.4</v>
      </c>
    </row>
    <row r="680" spans="1:9" ht="15.75" customHeight="1" x14ac:dyDescent="0.25">
      <c r="A680" s="9">
        <v>529323</v>
      </c>
      <c r="B680" s="2">
        <v>22697</v>
      </c>
      <c r="C680" s="22" t="s">
        <v>699</v>
      </c>
      <c r="D680" s="6">
        <v>3</v>
      </c>
      <c r="E680" s="27" t="s">
        <v>742</v>
      </c>
      <c r="F680" s="11">
        <v>2.95</v>
      </c>
      <c r="G680" s="9">
        <v>16713</v>
      </c>
      <c r="H680" s="1" t="s">
        <v>9</v>
      </c>
      <c r="I680" s="3">
        <f t="shared" si="10"/>
        <v>8.8500000000000014</v>
      </c>
    </row>
    <row r="681" spans="1:9" ht="15.75" customHeight="1" x14ac:dyDescent="0.25">
      <c r="A681" s="9">
        <v>517712</v>
      </c>
      <c r="B681" s="2" t="s">
        <v>743</v>
      </c>
      <c r="C681" s="22" t="s">
        <v>744</v>
      </c>
      <c r="D681" s="6">
        <v>6</v>
      </c>
      <c r="E681" s="26">
        <v>40391.470138888893</v>
      </c>
      <c r="F681" s="11">
        <v>4.95</v>
      </c>
      <c r="G681" s="9">
        <v>13564</v>
      </c>
      <c r="H681" s="1" t="s">
        <v>9</v>
      </c>
      <c r="I681" s="3">
        <f t="shared" si="10"/>
        <v>29.700000000000003</v>
      </c>
    </row>
    <row r="682" spans="1:9" ht="15.75" customHeight="1" x14ac:dyDescent="0.25">
      <c r="A682" s="9">
        <v>514809</v>
      </c>
      <c r="B682" s="2">
        <v>22636</v>
      </c>
      <c r="C682" s="22" t="s">
        <v>745</v>
      </c>
      <c r="D682" s="6">
        <v>52</v>
      </c>
      <c r="E682" s="26">
        <v>40365.488888888889</v>
      </c>
      <c r="F682" s="11">
        <v>7.65</v>
      </c>
      <c r="G682" s="9">
        <v>12678</v>
      </c>
      <c r="H682" s="1" t="s">
        <v>28</v>
      </c>
      <c r="I682" s="3">
        <f t="shared" si="10"/>
        <v>397.8</v>
      </c>
    </row>
    <row r="683" spans="1:9" ht="15.75" customHeight="1" x14ac:dyDescent="0.25">
      <c r="A683" s="9">
        <v>490705</v>
      </c>
      <c r="B683" s="2">
        <v>22083</v>
      </c>
      <c r="C683" s="22" t="s">
        <v>20</v>
      </c>
      <c r="D683" s="6">
        <v>40</v>
      </c>
      <c r="E683" s="26">
        <v>40154.62222222222</v>
      </c>
      <c r="F683" s="11">
        <v>2.5499999999999998</v>
      </c>
      <c r="G683" s="9">
        <v>12913</v>
      </c>
      <c r="H683" s="1" t="s">
        <v>9</v>
      </c>
      <c r="I683" s="3">
        <f t="shared" si="10"/>
        <v>102</v>
      </c>
    </row>
    <row r="684" spans="1:9" ht="15.75" customHeight="1" x14ac:dyDescent="0.25">
      <c r="A684" s="9">
        <v>503730</v>
      </c>
      <c r="B684" s="2">
        <v>84691</v>
      </c>
      <c r="C684" s="22" t="s">
        <v>746</v>
      </c>
      <c r="D684" s="6">
        <v>12</v>
      </c>
      <c r="E684" s="27" t="s">
        <v>747</v>
      </c>
      <c r="F684" s="11">
        <v>0.85</v>
      </c>
      <c r="G684" s="9">
        <v>17563</v>
      </c>
      <c r="H684" s="1" t="s">
        <v>9</v>
      </c>
      <c r="I684" s="3">
        <f t="shared" si="10"/>
        <v>10.199999999999999</v>
      </c>
    </row>
    <row r="685" spans="1:9" ht="15.75" customHeight="1" x14ac:dyDescent="0.25">
      <c r="A685" s="9">
        <v>535787</v>
      </c>
      <c r="B685" s="2">
        <v>22969</v>
      </c>
      <c r="C685" s="22" t="s">
        <v>748</v>
      </c>
      <c r="D685" s="6">
        <v>12</v>
      </c>
      <c r="E685" s="26">
        <v>40510.593055555553</v>
      </c>
      <c r="F685" s="11">
        <v>1.45</v>
      </c>
      <c r="G685" s="9">
        <v>13295</v>
      </c>
      <c r="H685" s="1" t="s">
        <v>9</v>
      </c>
      <c r="I685" s="3">
        <f t="shared" si="10"/>
        <v>17.399999999999999</v>
      </c>
    </row>
    <row r="686" spans="1:9" ht="15.75" customHeight="1" x14ac:dyDescent="0.25">
      <c r="A686" s="9">
        <v>530540</v>
      </c>
      <c r="B686" s="2" t="s">
        <v>594</v>
      </c>
      <c r="C686" s="22" t="s">
        <v>595</v>
      </c>
      <c r="D686" s="6">
        <v>10</v>
      </c>
      <c r="E686" s="26">
        <v>40485.545138888891</v>
      </c>
      <c r="F686" s="11">
        <v>1.95</v>
      </c>
      <c r="G686" s="9">
        <v>12793</v>
      </c>
      <c r="H686" s="1" t="s">
        <v>245</v>
      </c>
      <c r="I686" s="3">
        <f t="shared" si="10"/>
        <v>19.5</v>
      </c>
    </row>
    <row r="687" spans="1:9" ht="15.75" customHeight="1" x14ac:dyDescent="0.25">
      <c r="A687" s="9">
        <v>505969</v>
      </c>
      <c r="B687" s="2">
        <v>22171</v>
      </c>
      <c r="C687" s="22" t="s">
        <v>749</v>
      </c>
      <c r="D687" s="6">
        <v>1</v>
      </c>
      <c r="E687" s="26">
        <v>40294.691666666673</v>
      </c>
      <c r="F687" s="11">
        <v>8.5</v>
      </c>
      <c r="G687" s="9">
        <v>17231</v>
      </c>
      <c r="H687" s="1" t="s">
        <v>9</v>
      </c>
      <c r="I687" s="3">
        <f t="shared" si="10"/>
        <v>8.5</v>
      </c>
    </row>
    <row r="688" spans="1:9" ht="15.75" customHeight="1" x14ac:dyDescent="0.25">
      <c r="A688" s="9">
        <v>507840</v>
      </c>
      <c r="B688" s="2">
        <v>21175</v>
      </c>
      <c r="C688" s="22" t="s">
        <v>118</v>
      </c>
      <c r="D688" s="6">
        <v>3</v>
      </c>
      <c r="E688" s="26">
        <v>40309.568055555559</v>
      </c>
      <c r="F688" s="11">
        <v>2.1</v>
      </c>
      <c r="G688" s="9">
        <v>16487</v>
      </c>
      <c r="H688" s="1" t="s">
        <v>9</v>
      </c>
      <c r="I688" s="3">
        <f t="shared" si="10"/>
        <v>6.3000000000000007</v>
      </c>
    </row>
    <row r="689" spans="1:9" ht="15.75" customHeight="1" x14ac:dyDescent="0.25">
      <c r="A689" s="9">
        <v>519580</v>
      </c>
      <c r="B689" s="2">
        <v>21770</v>
      </c>
      <c r="C689" s="22" t="s">
        <v>750</v>
      </c>
      <c r="D689" s="6">
        <v>1</v>
      </c>
      <c r="E689" s="26">
        <v>40408.549305555563</v>
      </c>
      <c r="F689" s="11">
        <v>4.95</v>
      </c>
      <c r="G689" s="9">
        <v>16675</v>
      </c>
      <c r="H689" s="1" t="s">
        <v>9</v>
      </c>
      <c r="I689" s="3">
        <f t="shared" si="10"/>
        <v>4.95</v>
      </c>
    </row>
    <row r="690" spans="1:9" ht="15.75" customHeight="1" x14ac:dyDescent="0.25">
      <c r="A690" s="9">
        <v>519691</v>
      </c>
      <c r="B690" s="2" t="s">
        <v>751</v>
      </c>
      <c r="C690" s="22" t="s">
        <v>752</v>
      </c>
      <c r="D690" s="6">
        <v>1</v>
      </c>
      <c r="E690" s="26">
        <v>40409.563888888893</v>
      </c>
      <c r="F690" s="11">
        <v>3.75</v>
      </c>
      <c r="G690" s="9">
        <v>17841</v>
      </c>
      <c r="H690" s="1" t="s">
        <v>9</v>
      </c>
      <c r="I690" s="3">
        <f t="shared" si="10"/>
        <v>3.75</v>
      </c>
    </row>
    <row r="691" spans="1:9" ht="15.75" customHeight="1" x14ac:dyDescent="0.25">
      <c r="A691" s="9">
        <v>489562</v>
      </c>
      <c r="B691" s="2">
        <v>22139</v>
      </c>
      <c r="C691" s="22" t="s">
        <v>135</v>
      </c>
      <c r="D691" s="6">
        <v>1</v>
      </c>
      <c r="E691" s="26">
        <v>40148.546527777777</v>
      </c>
      <c r="F691" s="11">
        <v>4.95</v>
      </c>
      <c r="G691" s="9">
        <v>17998</v>
      </c>
      <c r="H691" s="1" t="s">
        <v>9</v>
      </c>
      <c r="I691" s="3">
        <f t="shared" si="10"/>
        <v>4.95</v>
      </c>
    </row>
    <row r="692" spans="1:9" ht="15.75" customHeight="1" x14ac:dyDescent="0.25">
      <c r="A692" s="9">
        <v>524708</v>
      </c>
      <c r="B692" s="2">
        <v>22086</v>
      </c>
      <c r="C692" s="22" t="s">
        <v>753</v>
      </c>
      <c r="D692" s="6">
        <v>6</v>
      </c>
      <c r="E692" s="26">
        <v>40451.526388888888</v>
      </c>
      <c r="F692" s="11">
        <v>2.95</v>
      </c>
      <c r="G692" s="9">
        <v>13394</v>
      </c>
      <c r="H692" s="1" t="s">
        <v>9</v>
      </c>
      <c r="I692" s="3">
        <f t="shared" si="10"/>
        <v>17.700000000000003</v>
      </c>
    </row>
    <row r="693" spans="1:9" ht="15.75" customHeight="1" x14ac:dyDescent="0.25">
      <c r="A693" s="9">
        <v>501542</v>
      </c>
      <c r="B693" s="2">
        <v>22356</v>
      </c>
      <c r="C693" s="22" t="s">
        <v>754</v>
      </c>
      <c r="D693" s="6">
        <v>30</v>
      </c>
      <c r="E693" s="26">
        <v>40254.602083333331</v>
      </c>
      <c r="F693" s="11">
        <v>0.85</v>
      </c>
      <c r="G693" s="9">
        <v>16004</v>
      </c>
      <c r="H693" s="1" t="s">
        <v>9</v>
      </c>
      <c r="I693" s="3">
        <f t="shared" si="10"/>
        <v>25.5</v>
      </c>
    </row>
    <row r="694" spans="1:9" ht="15.75" customHeight="1" x14ac:dyDescent="0.25">
      <c r="A694" s="9">
        <v>506254</v>
      </c>
      <c r="B694" s="2">
        <v>21156</v>
      </c>
      <c r="C694" s="22" t="s">
        <v>88</v>
      </c>
      <c r="D694" s="6">
        <v>16</v>
      </c>
      <c r="E694" s="26">
        <v>40296.582638888889</v>
      </c>
      <c r="F694" s="11">
        <v>1.95</v>
      </c>
      <c r="G694" s="9">
        <v>12714</v>
      </c>
      <c r="H694" s="1" t="s">
        <v>28</v>
      </c>
      <c r="I694" s="3">
        <f t="shared" si="10"/>
        <v>31.2</v>
      </c>
    </row>
    <row r="695" spans="1:9" ht="15.75" customHeight="1" x14ac:dyDescent="0.25">
      <c r="A695" s="9">
        <v>498046</v>
      </c>
      <c r="B695" s="2">
        <v>21283</v>
      </c>
      <c r="C695" s="22" t="s">
        <v>755</v>
      </c>
      <c r="D695" s="6">
        <v>4</v>
      </c>
      <c r="E695" s="26">
        <v>40225.447222222218</v>
      </c>
      <c r="F695" s="11">
        <v>3.25</v>
      </c>
      <c r="G695" s="9">
        <v>15051</v>
      </c>
      <c r="H695" s="1" t="s">
        <v>9</v>
      </c>
      <c r="I695" s="3">
        <f t="shared" si="10"/>
        <v>13</v>
      </c>
    </row>
    <row r="696" spans="1:9" ht="15.75" customHeight="1" x14ac:dyDescent="0.25">
      <c r="A696" s="9">
        <v>517977</v>
      </c>
      <c r="B696" s="2">
        <v>22666</v>
      </c>
      <c r="C696" s="22" t="s">
        <v>756</v>
      </c>
      <c r="D696" s="6">
        <v>1</v>
      </c>
      <c r="E696" s="26">
        <v>40393.599305555559</v>
      </c>
      <c r="F696" s="11">
        <v>2.95</v>
      </c>
      <c r="G696" s="9">
        <v>16938</v>
      </c>
      <c r="H696" s="1" t="s">
        <v>9</v>
      </c>
      <c r="I696" s="3">
        <f t="shared" si="10"/>
        <v>2.95</v>
      </c>
    </row>
    <row r="697" spans="1:9" ht="15.75" customHeight="1" x14ac:dyDescent="0.25">
      <c r="A697" s="9">
        <v>532088</v>
      </c>
      <c r="B697" s="2">
        <v>21039</v>
      </c>
      <c r="C697" s="22" t="s">
        <v>757</v>
      </c>
      <c r="D697" s="6">
        <v>6</v>
      </c>
      <c r="E697" s="27" t="s">
        <v>758</v>
      </c>
      <c r="F697" s="11">
        <v>2.5499999999999998</v>
      </c>
      <c r="G697" s="9">
        <v>12583</v>
      </c>
      <c r="H697" s="1" t="s">
        <v>28</v>
      </c>
      <c r="I697" s="3">
        <f t="shared" si="10"/>
        <v>15.299999999999999</v>
      </c>
    </row>
    <row r="698" spans="1:9" ht="15.75" customHeight="1" x14ac:dyDescent="0.25">
      <c r="A698" s="9">
        <v>532803</v>
      </c>
      <c r="B698" s="2" t="s">
        <v>759</v>
      </c>
      <c r="C698" s="22" t="s">
        <v>760</v>
      </c>
      <c r="D698" s="6">
        <v>4</v>
      </c>
      <c r="E698" s="26">
        <v>40496.622916666667</v>
      </c>
      <c r="F698" s="11">
        <v>7.95</v>
      </c>
      <c r="G698" s="9">
        <v>17544</v>
      </c>
      <c r="H698" s="1" t="s">
        <v>9</v>
      </c>
      <c r="I698" s="3">
        <f t="shared" si="10"/>
        <v>31.8</v>
      </c>
    </row>
    <row r="699" spans="1:9" ht="15.75" customHeight="1" x14ac:dyDescent="0.25">
      <c r="A699" s="9">
        <v>504890</v>
      </c>
      <c r="B699" s="2">
        <v>22098</v>
      </c>
      <c r="C699" s="22" t="s">
        <v>761</v>
      </c>
      <c r="D699" s="6">
        <v>1</v>
      </c>
      <c r="E699" s="26">
        <v>40286.578472222223</v>
      </c>
      <c r="F699" s="11">
        <v>1.25</v>
      </c>
      <c r="G699" s="9">
        <v>14415</v>
      </c>
      <c r="H699" s="1" t="s">
        <v>9</v>
      </c>
      <c r="I699" s="3">
        <f t="shared" si="10"/>
        <v>1.25</v>
      </c>
    </row>
    <row r="700" spans="1:9" ht="15.75" customHeight="1" x14ac:dyDescent="0.25">
      <c r="A700" s="9">
        <v>527759</v>
      </c>
      <c r="B700" s="2">
        <v>21181</v>
      </c>
      <c r="C700" s="22" t="s">
        <v>498</v>
      </c>
      <c r="D700" s="6">
        <v>24</v>
      </c>
      <c r="E700" s="26">
        <v>40469.71597222222</v>
      </c>
      <c r="F700" s="11">
        <v>2.1</v>
      </c>
      <c r="G700" s="9">
        <v>14572</v>
      </c>
      <c r="H700" s="1" t="s">
        <v>9</v>
      </c>
      <c r="I700" s="3">
        <f t="shared" si="10"/>
        <v>50.400000000000006</v>
      </c>
    </row>
    <row r="701" spans="1:9" ht="15.75" customHeight="1" x14ac:dyDescent="0.25">
      <c r="A701" s="9">
        <v>537594</v>
      </c>
      <c r="B701" s="2">
        <v>22244</v>
      </c>
      <c r="C701" s="22" t="s">
        <v>762</v>
      </c>
      <c r="D701" s="6">
        <v>12</v>
      </c>
      <c r="E701" s="26">
        <v>40519.519444444442</v>
      </c>
      <c r="F701" s="11">
        <v>1.95</v>
      </c>
      <c r="G701" s="9">
        <v>12647</v>
      </c>
      <c r="H701" s="1" t="s">
        <v>17</v>
      </c>
      <c r="I701" s="3">
        <f t="shared" si="10"/>
        <v>23.4</v>
      </c>
    </row>
    <row r="702" spans="1:9" ht="15.75" customHeight="1" x14ac:dyDescent="0.25">
      <c r="A702" s="9">
        <v>506957</v>
      </c>
      <c r="B702" s="2">
        <v>22719</v>
      </c>
      <c r="C702" s="22" t="s">
        <v>763</v>
      </c>
      <c r="D702" s="6">
        <v>3</v>
      </c>
      <c r="E702" s="26">
        <v>40303.495138888888</v>
      </c>
      <c r="F702" s="11">
        <v>1.25</v>
      </c>
      <c r="G702" s="9">
        <v>18231</v>
      </c>
      <c r="H702" s="1" t="s">
        <v>982</v>
      </c>
      <c r="I702" s="3">
        <f t="shared" si="10"/>
        <v>3.75</v>
      </c>
    </row>
    <row r="703" spans="1:9" ht="15.75" customHeight="1" x14ac:dyDescent="0.25">
      <c r="A703" s="9">
        <v>531468</v>
      </c>
      <c r="B703" s="2">
        <v>22158</v>
      </c>
      <c r="C703" s="22" t="s">
        <v>764</v>
      </c>
      <c r="D703" s="6">
        <v>3</v>
      </c>
      <c r="E703" s="26">
        <v>40490.581944444442</v>
      </c>
      <c r="F703" s="11">
        <v>2.95</v>
      </c>
      <c r="G703" s="9">
        <v>14821</v>
      </c>
      <c r="H703" s="1" t="s">
        <v>9</v>
      </c>
      <c r="I703" s="3">
        <f t="shared" si="10"/>
        <v>8.8500000000000014</v>
      </c>
    </row>
    <row r="704" spans="1:9" ht="15.75" customHeight="1" x14ac:dyDescent="0.25">
      <c r="A704" s="9">
        <v>495369</v>
      </c>
      <c r="B704" s="2">
        <v>84879</v>
      </c>
      <c r="C704" s="22" t="s">
        <v>143</v>
      </c>
      <c r="D704" s="6">
        <v>16</v>
      </c>
      <c r="E704" s="26">
        <v>40202.521527777782</v>
      </c>
      <c r="F704" s="11">
        <v>1.69</v>
      </c>
      <c r="G704" s="9">
        <v>13527</v>
      </c>
      <c r="H704" s="1" t="s">
        <v>9</v>
      </c>
      <c r="I704" s="3">
        <f t="shared" si="10"/>
        <v>27.04</v>
      </c>
    </row>
    <row r="705" spans="1:9" ht="15.75" customHeight="1" x14ac:dyDescent="0.25">
      <c r="A705" s="9">
        <v>498222</v>
      </c>
      <c r="B705" s="2">
        <v>72741</v>
      </c>
      <c r="C705" s="22" t="s">
        <v>397</v>
      </c>
      <c r="D705" s="6">
        <v>9</v>
      </c>
      <c r="E705" s="26">
        <v>40226.584027777782</v>
      </c>
      <c r="F705" s="11">
        <v>1.45</v>
      </c>
      <c r="G705" s="9">
        <v>14584</v>
      </c>
      <c r="H705" s="1" t="s">
        <v>9</v>
      </c>
      <c r="I705" s="3">
        <f t="shared" si="10"/>
        <v>13.049999999999999</v>
      </c>
    </row>
    <row r="706" spans="1:9" ht="15.75" customHeight="1" x14ac:dyDescent="0.25">
      <c r="A706" s="9">
        <v>523626</v>
      </c>
      <c r="B706" s="2">
        <v>21084</v>
      </c>
      <c r="C706" s="22" t="s">
        <v>765</v>
      </c>
      <c r="D706" s="6">
        <v>12</v>
      </c>
      <c r="E706" s="26">
        <v>40444.476388888892</v>
      </c>
      <c r="F706" s="11">
        <v>0.65</v>
      </c>
      <c r="G706" s="9">
        <v>17735</v>
      </c>
      <c r="H706" s="1" t="s">
        <v>9</v>
      </c>
      <c r="I706" s="3">
        <f t="shared" ref="I706:I769" si="11">(D706 *F706)</f>
        <v>7.8000000000000007</v>
      </c>
    </row>
    <row r="707" spans="1:9" ht="15.75" customHeight="1" x14ac:dyDescent="0.25">
      <c r="A707" s="9">
        <v>521159</v>
      </c>
      <c r="B707" s="2" t="s">
        <v>277</v>
      </c>
      <c r="C707" s="22" t="s">
        <v>278</v>
      </c>
      <c r="D707" s="6">
        <v>30</v>
      </c>
      <c r="E707" s="26">
        <v>40423.581250000003</v>
      </c>
      <c r="F707" s="11">
        <v>1.95</v>
      </c>
      <c r="G707" s="9">
        <v>16779</v>
      </c>
      <c r="H707" s="1" t="s">
        <v>9</v>
      </c>
      <c r="I707" s="3">
        <f t="shared" si="11"/>
        <v>58.5</v>
      </c>
    </row>
    <row r="708" spans="1:9" ht="15.75" customHeight="1" x14ac:dyDescent="0.25">
      <c r="A708" s="9">
        <v>533143</v>
      </c>
      <c r="B708" s="2">
        <v>22355</v>
      </c>
      <c r="C708" s="22" t="s">
        <v>766</v>
      </c>
      <c r="D708" s="6">
        <v>10</v>
      </c>
      <c r="E708" s="26">
        <v>40498.561111111107</v>
      </c>
      <c r="F708" s="11">
        <v>0.85</v>
      </c>
      <c r="G708" s="9">
        <v>12766</v>
      </c>
      <c r="H708" s="1" t="s">
        <v>245</v>
      </c>
      <c r="I708" s="3">
        <f t="shared" si="11"/>
        <v>8.5</v>
      </c>
    </row>
    <row r="709" spans="1:9" ht="15.75" customHeight="1" x14ac:dyDescent="0.25">
      <c r="A709" s="9">
        <v>507664</v>
      </c>
      <c r="B709" s="2">
        <v>85141</v>
      </c>
      <c r="C709" s="22" t="s">
        <v>767</v>
      </c>
      <c r="D709" s="6">
        <v>2</v>
      </c>
      <c r="E709" s="26">
        <v>40308.710416666669</v>
      </c>
      <c r="F709" s="11">
        <v>10.75</v>
      </c>
      <c r="G709" s="9">
        <v>17871</v>
      </c>
      <c r="H709" s="1" t="s">
        <v>9</v>
      </c>
      <c r="I709" s="3">
        <f t="shared" si="11"/>
        <v>21.5</v>
      </c>
    </row>
    <row r="710" spans="1:9" ht="15.75" customHeight="1" x14ac:dyDescent="0.25">
      <c r="A710" s="9">
        <v>518848</v>
      </c>
      <c r="B710" s="2">
        <v>21463</v>
      </c>
      <c r="C710" s="22" t="s">
        <v>600</v>
      </c>
      <c r="D710" s="6">
        <v>2</v>
      </c>
      <c r="E710" s="26">
        <v>40402.493055555547</v>
      </c>
      <c r="F710" s="11">
        <v>5.95</v>
      </c>
      <c r="G710" s="9">
        <v>15298</v>
      </c>
      <c r="H710" s="1" t="s">
        <v>9</v>
      </c>
      <c r="I710" s="3">
        <f t="shared" si="11"/>
        <v>11.9</v>
      </c>
    </row>
    <row r="711" spans="1:9" ht="15.75" customHeight="1" x14ac:dyDescent="0.25">
      <c r="A711" s="9">
        <v>508468</v>
      </c>
      <c r="B711" s="2">
        <v>22430</v>
      </c>
      <c r="C711" s="22" t="s">
        <v>768</v>
      </c>
      <c r="D711" s="6">
        <v>5</v>
      </c>
      <c r="E711" s="26">
        <v>40314.448611111111</v>
      </c>
      <c r="F711" s="11">
        <v>4.95</v>
      </c>
      <c r="G711" s="9">
        <v>14060</v>
      </c>
      <c r="H711" s="1" t="s">
        <v>9</v>
      </c>
      <c r="I711" s="3">
        <f t="shared" si="11"/>
        <v>24.75</v>
      </c>
    </row>
    <row r="712" spans="1:9" ht="15.75" customHeight="1" x14ac:dyDescent="0.25">
      <c r="A712" s="9">
        <v>521367</v>
      </c>
      <c r="B712" s="2">
        <v>20972</v>
      </c>
      <c r="C712" s="22" t="s">
        <v>512</v>
      </c>
      <c r="D712" s="6">
        <v>12</v>
      </c>
      <c r="E712" s="26">
        <v>40426.461111111108</v>
      </c>
      <c r="F712" s="11">
        <v>1.25</v>
      </c>
      <c r="G712" s="9">
        <v>14753</v>
      </c>
      <c r="H712" s="1" t="s">
        <v>9</v>
      </c>
      <c r="I712" s="3">
        <f t="shared" si="11"/>
        <v>15</v>
      </c>
    </row>
    <row r="713" spans="1:9" ht="15.75" customHeight="1" x14ac:dyDescent="0.25">
      <c r="A713" s="9" t="s">
        <v>769</v>
      </c>
      <c r="B713" s="2">
        <v>22806</v>
      </c>
      <c r="C713" s="22" t="s">
        <v>770</v>
      </c>
      <c r="D713" s="6">
        <v>-48</v>
      </c>
      <c r="E713" s="26">
        <v>40473.585416666669</v>
      </c>
      <c r="F713" s="11">
        <v>2.5499999999999998</v>
      </c>
      <c r="G713" s="9">
        <v>13316</v>
      </c>
      <c r="H713" s="1" t="s">
        <v>9</v>
      </c>
      <c r="I713" s="3">
        <f t="shared" si="11"/>
        <v>-122.39999999999999</v>
      </c>
    </row>
    <row r="714" spans="1:9" ht="15.75" customHeight="1" x14ac:dyDescent="0.25">
      <c r="A714" s="9">
        <v>537254</v>
      </c>
      <c r="B714" s="2">
        <v>22149</v>
      </c>
      <c r="C714" s="22" t="s">
        <v>450</v>
      </c>
      <c r="D714" s="6">
        <v>2</v>
      </c>
      <c r="E714" s="26">
        <v>40518.459027777782</v>
      </c>
      <c r="F714" s="11">
        <v>2.1</v>
      </c>
      <c r="G714" s="9">
        <v>15898</v>
      </c>
      <c r="H714" s="1" t="s">
        <v>9</v>
      </c>
      <c r="I714" s="3">
        <f t="shared" si="11"/>
        <v>4.2</v>
      </c>
    </row>
    <row r="715" spans="1:9" ht="15.75" customHeight="1" x14ac:dyDescent="0.25">
      <c r="A715" s="9">
        <v>512946</v>
      </c>
      <c r="B715" s="2" t="s">
        <v>771</v>
      </c>
      <c r="C715" s="22" t="s">
        <v>772</v>
      </c>
      <c r="D715" s="6">
        <v>4</v>
      </c>
      <c r="E715" s="26">
        <v>40349.647222222222</v>
      </c>
      <c r="F715" s="11">
        <v>0.85</v>
      </c>
      <c r="G715" s="9">
        <v>17625</v>
      </c>
      <c r="H715" s="1" t="s">
        <v>9</v>
      </c>
      <c r="I715" s="3">
        <f t="shared" si="11"/>
        <v>3.4</v>
      </c>
    </row>
    <row r="716" spans="1:9" ht="15.75" customHeight="1" x14ac:dyDescent="0.25">
      <c r="A716" s="9">
        <v>501657</v>
      </c>
      <c r="B716" s="2">
        <v>21894</v>
      </c>
      <c r="C716" s="22" t="s">
        <v>773</v>
      </c>
      <c r="D716" s="6">
        <v>1</v>
      </c>
      <c r="E716" s="26">
        <v>40255.548611111109</v>
      </c>
      <c r="F716" s="11">
        <v>1.25</v>
      </c>
      <c r="G716" s="9">
        <v>13243</v>
      </c>
      <c r="H716" s="1" t="s">
        <v>9</v>
      </c>
      <c r="I716" s="3">
        <f t="shared" si="11"/>
        <v>1.25</v>
      </c>
    </row>
    <row r="717" spans="1:9" ht="15.75" customHeight="1" x14ac:dyDescent="0.25">
      <c r="A717" s="9">
        <v>535953</v>
      </c>
      <c r="B717" s="2" t="s">
        <v>277</v>
      </c>
      <c r="C717" s="22" t="s">
        <v>278</v>
      </c>
      <c r="D717" s="6">
        <v>10</v>
      </c>
      <c r="E717" s="26">
        <v>40511.509027777778</v>
      </c>
      <c r="F717" s="11">
        <v>1.95</v>
      </c>
      <c r="G717" s="9">
        <v>15039</v>
      </c>
      <c r="H717" s="1" t="s">
        <v>9</v>
      </c>
      <c r="I717" s="3">
        <f t="shared" si="11"/>
        <v>19.5</v>
      </c>
    </row>
    <row r="718" spans="1:9" ht="15.75" customHeight="1" x14ac:dyDescent="0.25">
      <c r="A718" s="9">
        <v>533827</v>
      </c>
      <c r="B718" s="2">
        <v>22543</v>
      </c>
      <c r="C718" s="22" t="s">
        <v>774</v>
      </c>
      <c r="D718" s="6">
        <v>24</v>
      </c>
      <c r="E718" s="26">
        <v>40501.420138888891</v>
      </c>
      <c r="F718" s="11">
        <v>0.42</v>
      </c>
      <c r="G718" s="9">
        <v>12670</v>
      </c>
      <c r="H718" s="1" t="s">
        <v>28</v>
      </c>
      <c r="I718" s="3">
        <f t="shared" si="11"/>
        <v>10.08</v>
      </c>
    </row>
    <row r="719" spans="1:9" ht="15.75" customHeight="1" x14ac:dyDescent="0.25">
      <c r="A719" s="9">
        <v>532802</v>
      </c>
      <c r="B719" s="2">
        <v>84692</v>
      </c>
      <c r="C719" s="22" t="s">
        <v>716</v>
      </c>
      <c r="D719" s="6">
        <v>3</v>
      </c>
      <c r="E719" s="26">
        <v>40496.62222222222</v>
      </c>
      <c r="F719" s="11">
        <v>0.42</v>
      </c>
      <c r="G719" s="9">
        <v>17255</v>
      </c>
      <c r="H719" s="1" t="s">
        <v>9</v>
      </c>
      <c r="I719" s="3">
        <f t="shared" si="11"/>
        <v>1.26</v>
      </c>
    </row>
    <row r="720" spans="1:9" ht="15.75" customHeight="1" x14ac:dyDescent="0.25">
      <c r="A720" s="9">
        <v>489574</v>
      </c>
      <c r="B720" s="2">
        <v>21893</v>
      </c>
      <c r="C720" s="22" t="s">
        <v>775</v>
      </c>
      <c r="D720" s="6">
        <v>3</v>
      </c>
      <c r="E720" s="26">
        <v>40148.563194444447</v>
      </c>
      <c r="F720" s="11">
        <v>4.25</v>
      </c>
      <c r="G720" s="9">
        <v>13097</v>
      </c>
      <c r="H720" s="1" t="s">
        <v>9</v>
      </c>
      <c r="I720" s="3">
        <f t="shared" si="11"/>
        <v>12.75</v>
      </c>
    </row>
    <row r="721" spans="1:9" ht="15.75" customHeight="1" x14ac:dyDescent="0.25">
      <c r="A721" s="9">
        <v>494679</v>
      </c>
      <c r="B721" s="2">
        <v>22179</v>
      </c>
      <c r="C721" s="22" t="s">
        <v>628</v>
      </c>
      <c r="D721" s="6">
        <v>2</v>
      </c>
      <c r="E721" s="26">
        <v>40196.432638888888</v>
      </c>
      <c r="F721" s="11">
        <v>6.75</v>
      </c>
      <c r="G721" s="9">
        <v>12877</v>
      </c>
      <c r="H721" s="1" t="s">
        <v>9</v>
      </c>
      <c r="I721" s="3">
        <f t="shared" si="11"/>
        <v>13.5</v>
      </c>
    </row>
    <row r="722" spans="1:9" ht="15.75" customHeight="1" x14ac:dyDescent="0.25">
      <c r="A722" s="9">
        <v>527284</v>
      </c>
      <c r="B722" s="2">
        <v>85161</v>
      </c>
      <c r="C722" s="22" t="s">
        <v>776</v>
      </c>
      <c r="D722" s="6">
        <v>1</v>
      </c>
      <c r="E722" s="26">
        <v>40466.571527777778</v>
      </c>
      <c r="F722" s="11">
        <v>18.95</v>
      </c>
      <c r="G722" s="9">
        <v>12748</v>
      </c>
      <c r="H722" s="1" t="s">
        <v>9</v>
      </c>
      <c r="I722" s="3">
        <f t="shared" si="11"/>
        <v>18.95</v>
      </c>
    </row>
    <row r="723" spans="1:9" ht="15.75" customHeight="1" x14ac:dyDescent="0.25">
      <c r="A723" s="9">
        <v>495237</v>
      </c>
      <c r="B723" s="2">
        <v>22355</v>
      </c>
      <c r="C723" s="22" t="s">
        <v>97</v>
      </c>
      <c r="D723" s="6">
        <v>10</v>
      </c>
      <c r="E723" s="26">
        <v>40200.405555555553</v>
      </c>
      <c r="F723" s="11">
        <v>0.85</v>
      </c>
      <c r="G723" s="9">
        <v>17160</v>
      </c>
      <c r="H723" s="1" t="s">
        <v>9</v>
      </c>
      <c r="I723" s="3">
        <f t="shared" si="11"/>
        <v>8.5</v>
      </c>
    </row>
    <row r="724" spans="1:9" ht="15.75" customHeight="1" x14ac:dyDescent="0.25">
      <c r="A724" s="9">
        <v>532290</v>
      </c>
      <c r="B724" s="2">
        <v>22677</v>
      </c>
      <c r="C724" s="22" t="s">
        <v>777</v>
      </c>
      <c r="D724" s="6">
        <v>10</v>
      </c>
      <c r="E724" s="26">
        <v>40493.55972222222</v>
      </c>
      <c r="F724" s="11">
        <v>1.25</v>
      </c>
      <c r="G724" s="9">
        <v>17675</v>
      </c>
      <c r="H724" s="1" t="s">
        <v>9</v>
      </c>
      <c r="I724" s="3">
        <f t="shared" si="11"/>
        <v>12.5</v>
      </c>
    </row>
    <row r="725" spans="1:9" ht="15.75" customHeight="1" x14ac:dyDescent="0.25">
      <c r="A725" s="9">
        <v>493432</v>
      </c>
      <c r="B725" s="2" t="s">
        <v>778</v>
      </c>
      <c r="C725" s="22" t="s">
        <v>779</v>
      </c>
      <c r="D725" s="6">
        <v>2</v>
      </c>
      <c r="E725" s="26">
        <v>40182.520833333343</v>
      </c>
      <c r="F725" s="11">
        <v>9.9499999999999993</v>
      </c>
      <c r="G725" s="9">
        <v>14680</v>
      </c>
      <c r="H725" s="1" t="s">
        <v>9</v>
      </c>
      <c r="I725" s="3">
        <f t="shared" si="11"/>
        <v>19.899999999999999</v>
      </c>
    </row>
    <row r="726" spans="1:9" ht="15.75" customHeight="1" x14ac:dyDescent="0.25">
      <c r="A726" s="9">
        <v>513750</v>
      </c>
      <c r="B726" s="2">
        <v>22534</v>
      </c>
      <c r="C726" s="22" t="s">
        <v>780</v>
      </c>
      <c r="D726" s="6">
        <v>2</v>
      </c>
      <c r="E726" s="26">
        <v>40357.526388888888</v>
      </c>
      <c r="F726" s="11">
        <v>0.42</v>
      </c>
      <c r="G726" s="9">
        <v>17019</v>
      </c>
      <c r="H726" s="1" t="s">
        <v>9</v>
      </c>
      <c r="I726" s="3">
        <f t="shared" si="11"/>
        <v>0.84</v>
      </c>
    </row>
    <row r="727" spans="1:9" ht="15.75" customHeight="1" x14ac:dyDescent="0.25">
      <c r="A727" s="9">
        <v>509973</v>
      </c>
      <c r="B727" s="2" t="s">
        <v>781</v>
      </c>
      <c r="C727" s="22" t="s">
        <v>782</v>
      </c>
      <c r="D727" s="6">
        <v>6</v>
      </c>
      <c r="E727" s="26">
        <v>40324.565972222219</v>
      </c>
      <c r="F727" s="11">
        <v>2.95</v>
      </c>
      <c r="G727" s="9">
        <v>14938</v>
      </c>
      <c r="H727" s="1" t="s">
        <v>230</v>
      </c>
      <c r="I727" s="3">
        <f t="shared" si="11"/>
        <v>17.700000000000003</v>
      </c>
    </row>
    <row r="728" spans="1:9" ht="15.75" customHeight="1" x14ac:dyDescent="0.25">
      <c r="A728" s="9">
        <v>513830</v>
      </c>
      <c r="B728" s="2">
        <v>22417</v>
      </c>
      <c r="C728" s="22" t="s">
        <v>451</v>
      </c>
      <c r="D728" s="6">
        <v>24</v>
      </c>
      <c r="E728" s="26">
        <v>40358.45416666667</v>
      </c>
      <c r="F728" s="11">
        <v>0.55000000000000004</v>
      </c>
      <c r="G728" s="9">
        <v>13089</v>
      </c>
      <c r="H728" s="1" t="s">
        <v>9</v>
      </c>
      <c r="I728" s="3">
        <f t="shared" si="11"/>
        <v>13.200000000000001</v>
      </c>
    </row>
    <row r="729" spans="1:9" ht="15.75" customHeight="1" x14ac:dyDescent="0.25">
      <c r="A729" s="9">
        <v>505721</v>
      </c>
      <c r="B729" s="2">
        <v>21657</v>
      </c>
      <c r="C729" s="22" t="s">
        <v>783</v>
      </c>
      <c r="D729" s="6">
        <v>1</v>
      </c>
      <c r="E729" s="26">
        <v>40293.569444444453</v>
      </c>
      <c r="F729" s="11">
        <v>6.95</v>
      </c>
      <c r="G729" s="9">
        <v>15055</v>
      </c>
      <c r="H729" s="1" t="s">
        <v>9</v>
      </c>
      <c r="I729" s="3">
        <f t="shared" si="11"/>
        <v>6.95</v>
      </c>
    </row>
    <row r="730" spans="1:9" ht="15.75" customHeight="1" x14ac:dyDescent="0.25">
      <c r="A730" s="9">
        <v>506000</v>
      </c>
      <c r="B730" s="2">
        <v>21896</v>
      </c>
      <c r="C730" s="22" t="s">
        <v>784</v>
      </c>
      <c r="D730" s="6">
        <v>26</v>
      </c>
      <c r="E730" s="26">
        <v>40295.455555555563</v>
      </c>
      <c r="F730" s="11">
        <v>2.1</v>
      </c>
      <c r="G730" s="9">
        <v>16088</v>
      </c>
      <c r="H730" s="1" t="s">
        <v>9</v>
      </c>
      <c r="I730" s="3">
        <f t="shared" si="11"/>
        <v>54.6</v>
      </c>
    </row>
    <row r="731" spans="1:9" ht="15.75" customHeight="1" x14ac:dyDescent="0.25">
      <c r="A731" s="9">
        <v>513975</v>
      </c>
      <c r="B731" s="2">
        <v>22649</v>
      </c>
      <c r="C731" s="22" t="s">
        <v>785</v>
      </c>
      <c r="D731" s="6">
        <v>2</v>
      </c>
      <c r="E731" s="26">
        <v>40358.696527777778</v>
      </c>
      <c r="F731" s="11">
        <v>4.95</v>
      </c>
      <c r="G731" s="9">
        <v>13451</v>
      </c>
      <c r="H731" s="1" t="s">
        <v>9</v>
      </c>
      <c r="I731" s="3">
        <f t="shared" si="11"/>
        <v>9.9</v>
      </c>
    </row>
    <row r="732" spans="1:9" ht="15.75" customHeight="1" x14ac:dyDescent="0.25">
      <c r="A732" s="9">
        <v>525073</v>
      </c>
      <c r="B732" s="2" t="s">
        <v>786</v>
      </c>
      <c r="C732" s="22" t="s">
        <v>787</v>
      </c>
      <c r="D732" s="6">
        <v>2</v>
      </c>
      <c r="E732" s="26">
        <v>40454.619444444441</v>
      </c>
      <c r="F732" s="11">
        <v>18</v>
      </c>
      <c r="G732" s="9">
        <v>12490</v>
      </c>
      <c r="H732" s="1" t="s">
        <v>28</v>
      </c>
      <c r="I732" s="3">
        <f t="shared" si="11"/>
        <v>36</v>
      </c>
    </row>
    <row r="733" spans="1:9" ht="15.75" customHeight="1" x14ac:dyDescent="0.25">
      <c r="A733" s="9" t="s">
        <v>788</v>
      </c>
      <c r="B733" s="2">
        <v>20761</v>
      </c>
      <c r="C733" s="22" t="s">
        <v>789</v>
      </c>
      <c r="D733" s="6">
        <v>-4</v>
      </c>
      <c r="E733" s="26">
        <v>40246.573611111111</v>
      </c>
      <c r="F733" s="11">
        <v>3.75</v>
      </c>
      <c r="G733" s="9">
        <v>14748</v>
      </c>
      <c r="H733" s="1" t="s">
        <v>9</v>
      </c>
      <c r="I733" s="3">
        <f t="shared" si="11"/>
        <v>-15</v>
      </c>
    </row>
    <row r="734" spans="1:9" ht="15.75" customHeight="1" x14ac:dyDescent="0.25">
      <c r="A734" s="9">
        <v>531754</v>
      </c>
      <c r="B734" s="2">
        <v>22767</v>
      </c>
      <c r="C734" s="22" t="s">
        <v>790</v>
      </c>
      <c r="D734" s="6" t="s">
        <v>711</v>
      </c>
      <c r="E734" s="26">
        <v>40491.553472222222</v>
      </c>
      <c r="F734" s="11">
        <v>9.9499999999999993</v>
      </c>
      <c r="G734" s="9">
        <v>16977</v>
      </c>
      <c r="H734" s="1" t="s">
        <v>9</v>
      </c>
      <c r="I734" s="3">
        <f t="shared" si="11"/>
        <v>19.899999999999999</v>
      </c>
    </row>
    <row r="735" spans="1:9" ht="15.75" customHeight="1" x14ac:dyDescent="0.25">
      <c r="A735" s="9">
        <v>498827</v>
      </c>
      <c r="B735" s="2" t="s">
        <v>791</v>
      </c>
      <c r="C735" s="22" t="s">
        <v>792</v>
      </c>
      <c r="D735" s="6">
        <v>100</v>
      </c>
      <c r="E735" s="26">
        <v>40232.48333333333</v>
      </c>
      <c r="F735" s="11">
        <v>1.69</v>
      </c>
      <c r="G735" s="9">
        <v>13798</v>
      </c>
      <c r="H735" s="1" t="s">
        <v>9</v>
      </c>
      <c r="I735" s="3">
        <f t="shared" si="11"/>
        <v>169</v>
      </c>
    </row>
    <row r="736" spans="1:9" ht="15.75" customHeight="1" x14ac:dyDescent="0.25">
      <c r="A736" s="9">
        <v>493050</v>
      </c>
      <c r="B736" s="2">
        <v>21479</v>
      </c>
      <c r="C736" s="22" t="s">
        <v>422</v>
      </c>
      <c r="D736" s="6">
        <v>1</v>
      </c>
      <c r="E736" s="26">
        <v>40168.683333333327</v>
      </c>
      <c r="F736" s="11">
        <v>3.75</v>
      </c>
      <c r="G736" s="9">
        <v>17377</v>
      </c>
      <c r="H736" s="1" t="s">
        <v>9</v>
      </c>
      <c r="I736" s="3">
        <f t="shared" si="11"/>
        <v>3.75</v>
      </c>
    </row>
    <row r="737" spans="1:9" ht="15.75" customHeight="1" x14ac:dyDescent="0.25">
      <c r="A737" s="9">
        <v>515192</v>
      </c>
      <c r="B737" s="2">
        <v>21115</v>
      </c>
      <c r="C737" s="22" t="s">
        <v>793</v>
      </c>
      <c r="D737" s="6">
        <v>3</v>
      </c>
      <c r="E737" s="26">
        <v>40368.43472222222</v>
      </c>
      <c r="F737" s="11">
        <v>6.75</v>
      </c>
      <c r="G737" s="9">
        <v>18225</v>
      </c>
      <c r="H737" s="1" t="s">
        <v>9</v>
      </c>
      <c r="I737" s="3">
        <f t="shared" si="11"/>
        <v>20.25</v>
      </c>
    </row>
    <row r="738" spans="1:9" ht="15.75" customHeight="1" x14ac:dyDescent="0.25">
      <c r="A738" s="9">
        <v>502848</v>
      </c>
      <c r="B738" s="2">
        <v>82486</v>
      </c>
      <c r="C738" s="22" t="s">
        <v>794</v>
      </c>
      <c r="D738" s="6">
        <v>2</v>
      </c>
      <c r="E738" s="26">
        <v>40265.586111111108</v>
      </c>
      <c r="F738" s="11">
        <v>7.95</v>
      </c>
      <c r="G738" s="9">
        <v>15570</v>
      </c>
      <c r="H738" s="1" t="s">
        <v>9</v>
      </c>
      <c r="I738" s="3">
        <f t="shared" si="11"/>
        <v>15.9</v>
      </c>
    </row>
    <row r="739" spans="1:9" ht="15.75" customHeight="1" x14ac:dyDescent="0.25">
      <c r="A739" s="9">
        <v>530302</v>
      </c>
      <c r="B739" s="2">
        <v>22411</v>
      </c>
      <c r="C739" s="22" t="s">
        <v>206</v>
      </c>
      <c r="D739" s="6">
        <v>10</v>
      </c>
      <c r="E739" s="26">
        <v>40484.546527777777</v>
      </c>
      <c r="F739" s="11">
        <v>1.95</v>
      </c>
      <c r="G739" s="9">
        <v>17003</v>
      </c>
      <c r="H739" s="1" t="s">
        <v>9</v>
      </c>
      <c r="I739" s="3">
        <f t="shared" si="11"/>
        <v>19.5</v>
      </c>
    </row>
    <row r="740" spans="1:9" ht="15.75" customHeight="1" x14ac:dyDescent="0.25">
      <c r="A740" s="9">
        <v>503432</v>
      </c>
      <c r="B740" s="2">
        <v>22468</v>
      </c>
      <c r="C740" s="22" t="s">
        <v>592</v>
      </c>
      <c r="D740" s="6">
        <v>6</v>
      </c>
      <c r="E740" s="26">
        <v>40269.356944444437</v>
      </c>
      <c r="F740" s="11">
        <v>6.75</v>
      </c>
      <c r="G740" s="9">
        <v>17739</v>
      </c>
      <c r="H740" s="1" t="s">
        <v>9</v>
      </c>
      <c r="I740" s="3">
        <f t="shared" si="11"/>
        <v>40.5</v>
      </c>
    </row>
    <row r="741" spans="1:9" ht="15.75" customHeight="1" x14ac:dyDescent="0.25">
      <c r="A741" s="9">
        <v>493716</v>
      </c>
      <c r="B741" s="2">
        <v>21614</v>
      </c>
      <c r="C741" s="22" t="s">
        <v>795</v>
      </c>
      <c r="D741" s="6">
        <v>6</v>
      </c>
      <c r="E741" s="26">
        <v>40183.701388888891</v>
      </c>
      <c r="F741" s="11">
        <v>2.95</v>
      </c>
      <c r="G741" s="9">
        <v>17364</v>
      </c>
      <c r="H741" s="1" t="s">
        <v>9</v>
      </c>
      <c r="I741" s="3">
        <f t="shared" si="11"/>
        <v>17.700000000000003</v>
      </c>
    </row>
    <row r="742" spans="1:9" ht="15.75" customHeight="1" x14ac:dyDescent="0.25">
      <c r="A742" s="9">
        <v>498107</v>
      </c>
      <c r="B742" s="2">
        <v>21930</v>
      </c>
      <c r="C742" s="22" t="s">
        <v>58</v>
      </c>
      <c r="D742" s="6">
        <v>10</v>
      </c>
      <c r="E742" s="26">
        <v>40225.581250000003</v>
      </c>
      <c r="F742" s="11">
        <v>1.95</v>
      </c>
      <c r="G742" s="9">
        <v>15078</v>
      </c>
      <c r="H742" s="1" t="s">
        <v>9</v>
      </c>
      <c r="I742" s="3">
        <f t="shared" si="11"/>
        <v>19.5</v>
      </c>
    </row>
    <row r="743" spans="1:9" ht="15.75" customHeight="1" x14ac:dyDescent="0.25">
      <c r="A743" s="9">
        <v>532964</v>
      </c>
      <c r="B743" s="2">
        <v>22510</v>
      </c>
      <c r="C743" s="22" t="s">
        <v>796</v>
      </c>
      <c r="D743" s="6">
        <v>1</v>
      </c>
      <c r="E743" s="26">
        <v>40497.529861111107</v>
      </c>
      <c r="F743" s="11">
        <v>3.75</v>
      </c>
      <c r="G743" s="9">
        <v>15493</v>
      </c>
      <c r="H743" s="1" t="s">
        <v>9</v>
      </c>
      <c r="I743" s="3">
        <f t="shared" si="11"/>
        <v>3.75</v>
      </c>
    </row>
    <row r="744" spans="1:9" ht="15.75" customHeight="1" x14ac:dyDescent="0.25">
      <c r="A744" s="9">
        <v>523132</v>
      </c>
      <c r="B744" s="2" t="s">
        <v>797</v>
      </c>
      <c r="C744" s="22" t="s">
        <v>798</v>
      </c>
      <c r="D744" s="6">
        <v>2</v>
      </c>
      <c r="E744" s="26">
        <v>40441.584722222222</v>
      </c>
      <c r="F744" s="11" t="s">
        <v>799</v>
      </c>
      <c r="G744" s="9">
        <v>17167</v>
      </c>
      <c r="H744" s="1" t="s">
        <v>9</v>
      </c>
      <c r="I744" s="3">
        <f t="shared" si="11"/>
        <v>12.7</v>
      </c>
    </row>
    <row r="745" spans="1:9" ht="15.75" customHeight="1" x14ac:dyDescent="0.25">
      <c r="A745" s="9">
        <v>493326</v>
      </c>
      <c r="B745" s="2">
        <v>21527</v>
      </c>
      <c r="C745" s="22" t="s">
        <v>800</v>
      </c>
      <c r="D745" s="6">
        <v>24</v>
      </c>
      <c r="E745" s="26">
        <v>40170.388888888891</v>
      </c>
      <c r="F745" s="11">
        <v>6.95</v>
      </c>
      <c r="G745" s="9">
        <v>18092</v>
      </c>
      <c r="H745" s="1" t="s">
        <v>9</v>
      </c>
      <c r="I745" s="3">
        <f t="shared" si="11"/>
        <v>166.8</v>
      </c>
    </row>
    <row r="746" spans="1:9" ht="15.75" customHeight="1" x14ac:dyDescent="0.25">
      <c r="A746" s="9">
        <v>527266</v>
      </c>
      <c r="B746" s="2">
        <v>20724</v>
      </c>
      <c r="C746" s="22" t="s">
        <v>801</v>
      </c>
      <c r="D746" s="6">
        <v>10</v>
      </c>
      <c r="E746" s="26">
        <v>40466.536111111112</v>
      </c>
      <c r="F746" s="11">
        <v>0.85</v>
      </c>
      <c r="G746" s="9">
        <v>15005</v>
      </c>
      <c r="H746" s="1" t="s">
        <v>9</v>
      </c>
      <c r="I746" s="3">
        <f t="shared" si="11"/>
        <v>8.5</v>
      </c>
    </row>
    <row r="747" spans="1:9" ht="15.75" customHeight="1" x14ac:dyDescent="0.25">
      <c r="A747" s="9">
        <v>500857</v>
      </c>
      <c r="B747" s="2">
        <v>20718</v>
      </c>
      <c r="C747" s="22" t="s">
        <v>593</v>
      </c>
      <c r="D747" s="6">
        <v>3</v>
      </c>
      <c r="E747" s="26">
        <v>40247.515972222223</v>
      </c>
      <c r="F747" s="11">
        <v>1.25</v>
      </c>
      <c r="G747" s="9">
        <v>15911</v>
      </c>
      <c r="H747" s="1" t="s">
        <v>9</v>
      </c>
      <c r="I747" s="3">
        <f t="shared" si="11"/>
        <v>3.75</v>
      </c>
    </row>
    <row r="748" spans="1:9" ht="15.75" customHeight="1" x14ac:dyDescent="0.25">
      <c r="A748" s="9">
        <v>505636</v>
      </c>
      <c r="B748" s="2">
        <v>84992</v>
      </c>
      <c r="C748" s="22" t="s">
        <v>400</v>
      </c>
      <c r="D748" s="6">
        <v>24</v>
      </c>
      <c r="E748" s="26">
        <v>40291.557638888888</v>
      </c>
      <c r="F748" s="11">
        <v>0.55000000000000004</v>
      </c>
      <c r="G748" s="9">
        <v>14755</v>
      </c>
      <c r="H748" s="1" t="s">
        <v>9</v>
      </c>
      <c r="I748" s="3">
        <f t="shared" si="11"/>
        <v>13.200000000000001</v>
      </c>
    </row>
    <row r="749" spans="1:9" ht="15.75" customHeight="1" x14ac:dyDescent="0.25">
      <c r="A749" s="9">
        <v>525077</v>
      </c>
      <c r="B749" s="2">
        <v>22375</v>
      </c>
      <c r="C749" s="22" t="s">
        <v>641</v>
      </c>
      <c r="D749" s="6">
        <v>6</v>
      </c>
      <c r="E749" s="26">
        <v>40454.645833333343</v>
      </c>
      <c r="F749" s="11">
        <v>4.25</v>
      </c>
      <c r="G749" s="9">
        <v>16485</v>
      </c>
      <c r="H749" s="1" t="s">
        <v>9</v>
      </c>
      <c r="I749" s="3">
        <f t="shared" si="11"/>
        <v>25.5</v>
      </c>
    </row>
    <row r="750" spans="1:9" ht="15.75" customHeight="1" x14ac:dyDescent="0.25">
      <c r="A750" s="9">
        <v>522384</v>
      </c>
      <c r="B750" s="2">
        <v>21977</v>
      </c>
      <c r="C750" s="22" t="s">
        <v>612</v>
      </c>
      <c r="D750" s="6">
        <v>24</v>
      </c>
      <c r="E750" s="26">
        <v>40435.463888888888</v>
      </c>
      <c r="F750" s="11">
        <v>0.55000000000000004</v>
      </c>
      <c r="G750" s="9">
        <v>15673</v>
      </c>
      <c r="H750" s="1" t="s">
        <v>9</v>
      </c>
      <c r="I750" s="3">
        <f t="shared" si="11"/>
        <v>13.200000000000001</v>
      </c>
    </row>
    <row r="751" spans="1:9" ht="15.75" customHeight="1" x14ac:dyDescent="0.25">
      <c r="A751" s="9">
        <v>511474</v>
      </c>
      <c r="B751" s="2" t="s">
        <v>802</v>
      </c>
      <c r="C751" s="22" t="s">
        <v>803</v>
      </c>
      <c r="D751" s="6">
        <v>2</v>
      </c>
      <c r="E751" s="26">
        <v>40337.560416666667</v>
      </c>
      <c r="F751" s="11">
        <v>5.95</v>
      </c>
      <c r="G751" s="9">
        <v>16791</v>
      </c>
      <c r="H751" s="1" t="s">
        <v>9</v>
      </c>
      <c r="I751" s="3">
        <f t="shared" si="11"/>
        <v>11.9</v>
      </c>
    </row>
    <row r="752" spans="1:9" ht="15.75" customHeight="1" x14ac:dyDescent="0.25">
      <c r="A752" s="9">
        <v>511864</v>
      </c>
      <c r="B752" s="2">
        <v>84991</v>
      </c>
      <c r="C752" s="22" t="s">
        <v>666</v>
      </c>
      <c r="D752" s="6">
        <v>1</v>
      </c>
      <c r="E752" s="26">
        <v>40340.432638888888</v>
      </c>
      <c r="F752" s="11">
        <v>0.55000000000000004</v>
      </c>
      <c r="G752" s="9">
        <v>15910</v>
      </c>
      <c r="H752" s="1" t="s">
        <v>9</v>
      </c>
      <c r="I752" s="3">
        <f t="shared" si="11"/>
        <v>0.55000000000000004</v>
      </c>
    </row>
    <row r="753" spans="1:9" ht="15.75" customHeight="1" x14ac:dyDescent="0.25">
      <c r="A753" s="9">
        <v>535457</v>
      </c>
      <c r="B753" s="2">
        <v>84879</v>
      </c>
      <c r="C753" s="22" t="s">
        <v>143</v>
      </c>
      <c r="D753" s="6">
        <v>9</v>
      </c>
      <c r="E753" s="26">
        <v>40508.538888888892</v>
      </c>
      <c r="F753" s="11">
        <v>1.69</v>
      </c>
      <c r="G753" s="9">
        <v>15028</v>
      </c>
      <c r="H753" s="1" t="s">
        <v>9</v>
      </c>
      <c r="I753" s="3">
        <f t="shared" si="11"/>
        <v>15.209999999999999</v>
      </c>
    </row>
    <row r="754" spans="1:9" ht="15.75" customHeight="1" x14ac:dyDescent="0.25">
      <c r="A754" s="9">
        <v>521958</v>
      </c>
      <c r="B754" s="2">
        <v>21239</v>
      </c>
      <c r="C754" s="22" t="s">
        <v>804</v>
      </c>
      <c r="D754" s="6">
        <v>8</v>
      </c>
      <c r="E754" s="26">
        <v>40430.759722222218</v>
      </c>
      <c r="F754" s="11">
        <v>0.85</v>
      </c>
      <c r="G754" s="9">
        <v>12708</v>
      </c>
      <c r="H754" s="1" t="s">
        <v>17</v>
      </c>
      <c r="I754" s="3">
        <f t="shared" si="11"/>
        <v>6.8</v>
      </c>
    </row>
    <row r="755" spans="1:9" ht="15.75" customHeight="1" x14ac:dyDescent="0.25">
      <c r="A755" s="9">
        <v>521896</v>
      </c>
      <c r="B755" s="2">
        <v>22197</v>
      </c>
      <c r="C755" s="22" t="s">
        <v>805</v>
      </c>
      <c r="D755" s="6">
        <v>12</v>
      </c>
      <c r="E755" s="26">
        <v>40430.513194444437</v>
      </c>
      <c r="F755" s="11">
        <v>0.85</v>
      </c>
      <c r="G755" s="9">
        <v>12682</v>
      </c>
      <c r="H755" s="1" t="s">
        <v>28</v>
      </c>
      <c r="I755" s="3">
        <f t="shared" si="11"/>
        <v>10.199999999999999</v>
      </c>
    </row>
    <row r="756" spans="1:9" ht="15.75" customHeight="1" x14ac:dyDescent="0.25">
      <c r="A756" s="9">
        <v>517336</v>
      </c>
      <c r="B756" s="2">
        <v>20975</v>
      </c>
      <c r="C756" s="22" t="s">
        <v>806</v>
      </c>
      <c r="D756" s="6">
        <v>4</v>
      </c>
      <c r="E756" s="26">
        <v>40387.566666666673</v>
      </c>
      <c r="F756" s="11">
        <v>0.65</v>
      </c>
      <c r="G756" s="9">
        <v>13590</v>
      </c>
      <c r="H756" s="1" t="s">
        <v>9</v>
      </c>
      <c r="I756" s="3">
        <f t="shared" si="11"/>
        <v>2.6</v>
      </c>
    </row>
    <row r="757" spans="1:9" ht="15.75" customHeight="1" x14ac:dyDescent="0.25">
      <c r="A757" s="9">
        <v>503251</v>
      </c>
      <c r="B757" s="2">
        <v>21590</v>
      </c>
      <c r="C757" s="22" t="s">
        <v>345</v>
      </c>
      <c r="D757" s="6">
        <v>24</v>
      </c>
      <c r="E757" s="27" t="s">
        <v>807</v>
      </c>
      <c r="F757" s="11">
        <v>1.25</v>
      </c>
      <c r="G757" s="9">
        <v>15754</v>
      </c>
      <c r="H757" s="1" t="s">
        <v>9</v>
      </c>
      <c r="I757" s="3">
        <f t="shared" si="11"/>
        <v>30</v>
      </c>
    </row>
    <row r="758" spans="1:9" ht="15.75" customHeight="1" x14ac:dyDescent="0.25">
      <c r="A758" s="9">
        <v>530323</v>
      </c>
      <c r="B758" s="2">
        <v>22776</v>
      </c>
      <c r="C758" s="22" t="s">
        <v>808</v>
      </c>
      <c r="D758" s="6">
        <v>1</v>
      </c>
      <c r="E758" s="26">
        <v>40484.566666666673</v>
      </c>
      <c r="F758" s="11">
        <v>9.9499999999999993</v>
      </c>
      <c r="G758" s="9">
        <v>16255</v>
      </c>
      <c r="H758" s="1" t="s">
        <v>9</v>
      </c>
      <c r="I758" s="3">
        <f t="shared" si="11"/>
        <v>9.9499999999999993</v>
      </c>
    </row>
    <row r="759" spans="1:9" ht="15.75" customHeight="1" x14ac:dyDescent="0.25">
      <c r="A759" s="9">
        <v>505364</v>
      </c>
      <c r="B759" s="2">
        <v>35644</v>
      </c>
      <c r="C759" s="22" t="s">
        <v>809</v>
      </c>
      <c r="D759" s="6">
        <v>4</v>
      </c>
      <c r="E759" s="26">
        <v>40289.656944444447</v>
      </c>
      <c r="F759" s="11">
        <v>1.95</v>
      </c>
      <c r="G759" s="9">
        <v>14395</v>
      </c>
      <c r="H759" s="1" t="s">
        <v>9</v>
      </c>
      <c r="I759" s="3">
        <f t="shared" si="11"/>
        <v>7.8</v>
      </c>
    </row>
    <row r="760" spans="1:9" ht="15.75" customHeight="1" x14ac:dyDescent="0.25">
      <c r="A760" s="9">
        <v>517960</v>
      </c>
      <c r="B760" s="2">
        <v>22386</v>
      </c>
      <c r="C760" s="22" t="s">
        <v>810</v>
      </c>
      <c r="D760" s="6">
        <v>10</v>
      </c>
      <c r="E760" s="26">
        <v>40393.522222222222</v>
      </c>
      <c r="F760" s="11">
        <v>1.95</v>
      </c>
      <c r="G760" s="9">
        <v>14841</v>
      </c>
      <c r="H760" s="1" t="s">
        <v>9</v>
      </c>
      <c r="I760" s="3">
        <f t="shared" si="11"/>
        <v>19.5</v>
      </c>
    </row>
    <row r="761" spans="1:9" ht="15.75" customHeight="1" x14ac:dyDescent="0.25">
      <c r="A761" s="9">
        <v>510141</v>
      </c>
      <c r="B761" s="2">
        <v>21158</v>
      </c>
      <c r="C761" s="22" t="s">
        <v>811</v>
      </c>
      <c r="D761" s="6">
        <v>1</v>
      </c>
      <c r="E761" s="26">
        <v>40325.520833333343</v>
      </c>
      <c r="F761" s="11">
        <v>1.45</v>
      </c>
      <c r="G761" s="9">
        <v>14069</v>
      </c>
      <c r="H761" s="1" t="s">
        <v>9</v>
      </c>
      <c r="I761" s="3">
        <f t="shared" si="11"/>
        <v>1.45</v>
      </c>
    </row>
    <row r="762" spans="1:9" ht="15.75" customHeight="1" x14ac:dyDescent="0.25">
      <c r="A762" s="9">
        <v>525433</v>
      </c>
      <c r="B762" s="2">
        <v>21755</v>
      </c>
      <c r="C762" s="22" t="s">
        <v>360</v>
      </c>
      <c r="D762" s="6">
        <v>3</v>
      </c>
      <c r="E762" s="26">
        <v>40456.552083333343</v>
      </c>
      <c r="F762" s="11">
        <v>5.95</v>
      </c>
      <c r="G762" s="9">
        <v>14180</v>
      </c>
      <c r="H762" s="1" t="s">
        <v>9</v>
      </c>
      <c r="I762" s="3">
        <f t="shared" si="11"/>
        <v>17.850000000000001</v>
      </c>
    </row>
    <row r="763" spans="1:9" ht="15.75" customHeight="1" x14ac:dyDescent="0.25">
      <c r="A763" s="9">
        <v>534160</v>
      </c>
      <c r="B763" s="2">
        <v>21107</v>
      </c>
      <c r="C763" s="22" t="s">
        <v>672</v>
      </c>
      <c r="D763" s="6">
        <v>1</v>
      </c>
      <c r="E763" s="26">
        <v>40503.538194444453</v>
      </c>
      <c r="F763" s="11">
        <v>2.95</v>
      </c>
      <c r="G763" s="9">
        <v>12858</v>
      </c>
      <c r="H763" s="1" t="s">
        <v>9</v>
      </c>
      <c r="I763" s="3">
        <f t="shared" si="11"/>
        <v>2.95</v>
      </c>
    </row>
    <row r="764" spans="1:9" ht="15.75" customHeight="1" x14ac:dyDescent="0.25">
      <c r="A764" s="9">
        <v>505496</v>
      </c>
      <c r="B764" s="2">
        <v>22554</v>
      </c>
      <c r="C764" s="22" t="s">
        <v>812</v>
      </c>
      <c r="D764" s="6">
        <v>12</v>
      </c>
      <c r="E764" s="26">
        <v>40290.55972222222</v>
      </c>
      <c r="F764" s="11">
        <v>1.65</v>
      </c>
      <c r="G764" s="9">
        <v>15651</v>
      </c>
      <c r="H764" s="1" t="s">
        <v>9</v>
      </c>
      <c r="I764" s="3">
        <f t="shared" si="11"/>
        <v>19.799999999999997</v>
      </c>
    </row>
    <row r="765" spans="1:9" ht="15.75" customHeight="1" x14ac:dyDescent="0.25">
      <c r="A765" s="9">
        <v>524420</v>
      </c>
      <c r="B765" s="2">
        <v>21744</v>
      </c>
      <c r="C765" s="22" t="s">
        <v>813</v>
      </c>
      <c r="D765" s="6">
        <v>12</v>
      </c>
      <c r="E765" s="26">
        <v>40450.431944444441</v>
      </c>
      <c r="F765" s="11">
        <v>2.95</v>
      </c>
      <c r="G765" s="9">
        <v>16293</v>
      </c>
      <c r="H765" s="1" t="s">
        <v>9</v>
      </c>
      <c r="I765" s="3">
        <f t="shared" si="11"/>
        <v>35.400000000000006</v>
      </c>
    </row>
    <row r="766" spans="1:9" ht="15.75" customHeight="1" x14ac:dyDescent="0.25">
      <c r="A766" s="9">
        <v>518767</v>
      </c>
      <c r="B766" s="2">
        <v>21870</v>
      </c>
      <c r="C766" s="22" t="s">
        <v>192</v>
      </c>
      <c r="D766" s="6">
        <v>12</v>
      </c>
      <c r="E766" s="26">
        <v>40401.618055555547</v>
      </c>
      <c r="F766" s="11">
        <v>1.25</v>
      </c>
      <c r="G766" s="9">
        <v>17469</v>
      </c>
      <c r="H766" s="1" t="s">
        <v>9</v>
      </c>
      <c r="I766" s="3">
        <f t="shared" si="11"/>
        <v>15</v>
      </c>
    </row>
    <row r="767" spans="1:9" ht="15.75" customHeight="1" x14ac:dyDescent="0.25">
      <c r="A767" s="9">
        <v>517487</v>
      </c>
      <c r="B767" s="2">
        <v>22332</v>
      </c>
      <c r="C767" s="22" t="s">
        <v>814</v>
      </c>
      <c r="D767" s="6">
        <v>3</v>
      </c>
      <c r="E767" s="26">
        <v>40388.523611111108</v>
      </c>
      <c r="F767" s="11">
        <v>1.65</v>
      </c>
      <c r="G767" s="9">
        <v>16779</v>
      </c>
      <c r="H767" s="1" t="s">
        <v>9</v>
      </c>
      <c r="I767" s="3">
        <f t="shared" si="11"/>
        <v>4.9499999999999993</v>
      </c>
    </row>
    <row r="768" spans="1:9" ht="15.75" customHeight="1" x14ac:dyDescent="0.25">
      <c r="A768" s="9">
        <v>527819</v>
      </c>
      <c r="B768" s="2">
        <v>22147</v>
      </c>
      <c r="C768" s="22" t="s">
        <v>387</v>
      </c>
      <c r="D768" s="6">
        <v>1</v>
      </c>
      <c r="E768" s="26">
        <v>40470.473611111112</v>
      </c>
      <c r="F768" s="11">
        <v>1.45</v>
      </c>
      <c r="G768" s="9">
        <v>16515</v>
      </c>
      <c r="H768" s="1" t="s">
        <v>9</v>
      </c>
      <c r="I768" s="3">
        <f t="shared" si="11"/>
        <v>1.45</v>
      </c>
    </row>
    <row r="769" spans="1:9" ht="15.75" customHeight="1" x14ac:dyDescent="0.25">
      <c r="A769" s="9">
        <v>505615</v>
      </c>
      <c r="B769" s="2">
        <v>22328</v>
      </c>
      <c r="C769" s="22" t="s">
        <v>91</v>
      </c>
      <c r="D769" s="6" t="s">
        <v>330</v>
      </c>
      <c r="E769" s="26">
        <v>40291.53402777778</v>
      </c>
      <c r="F769" s="11">
        <v>2.95</v>
      </c>
      <c r="G769" s="9">
        <v>15288</v>
      </c>
      <c r="H769" s="1" t="s">
        <v>9</v>
      </c>
      <c r="I769" s="3">
        <f t="shared" si="11"/>
        <v>2.95</v>
      </c>
    </row>
    <row r="770" spans="1:9" ht="15.75" customHeight="1" x14ac:dyDescent="0.25">
      <c r="A770" s="9">
        <v>534720</v>
      </c>
      <c r="B770" s="2">
        <v>22777</v>
      </c>
      <c r="C770" s="22" t="s">
        <v>816</v>
      </c>
      <c r="D770" s="6">
        <v>2</v>
      </c>
      <c r="E770" s="26">
        <v>40505.745138888888</v>
      </c>
      <c r="F770" s="11">
        <v>8.5</v>
      </c>
      <c r="G770" s="9">
        <v>14154</v>
      </c>
      <c r="H770" s="1" t="s">
        <v>9</v>
      </c>
      <c r="I770" s="3">
        <f t="shared" ref="I770:I833" si="12">(D770 *F770)</f>
        <v>17</v>
      </c>
    </row>
    <row r="771" spans="1:9" ht="15.75" customHeight="1" x14ac:dyDescent="0.25">
      <c r="A771" s="9">
        <v>533551</v>
      </c>
      <c r="B771" s="2">
        <v>85048</v>
      </c>
      <c r="C771" s="22" t="s">
        <v>817</v>
      </c>
      <c r="D771" s="6">
        <v>1</v>
      </c>
      <c r="E771" s="26">
        <v>40499.713888888888</v>
      </c>
      <c r="F771" s="11">
        <v>7.95</v>
      </c>
      <c r="G771" s="9">
        <v>17576</v>
      </c>
      <c r="H771" s="1" t="s">
        <v>9</v>
      </c>
      <c r="I771" s="3">
        <f t="shared" si="12"/>
        <v>7.95</v>
      </c>
    </row>
    <row r="772" spans="1:9" ht="15.75" customHeight="1" x14ac:dyDescent="0.25">
      <c r="A772" s="9">
        <v>503361</v>
      </c>
      <c r="B772" s="2">
        <v>22063</v>
      </c>
      <c r="C772" s="22" t="s">
        <v>487</v>
      </c>
      <c r="D772" s="6">
        <v>6</v>
      </c>
      <c r="E772" s="26">
        <v>40268.585416666669</v>
      </c>
      <c r="F772" s="11">
        <v>2.95</v>
      </c>
      <c r="G772" s="9">
        <v>17049</v>
      </c>
      <c r="H772" s="1" t="s">
        <v>9</v>
      </c>
      <c r="I772" s="3">
        <f t="shared" si="12"/>
        <v>17.700000000000003</v>
      </c>
    </row>
    <row r="773" spans="1:9" ht="15.75" customHeight="1" x14ac:dyDescent="0.25">
      <c r="A773" s="9">
        <v>489866</v>
      </c>
      <c r="B773" s="2">
        <v>82482</v>
      </c>
      <c r="C773" s="22" t="s">
        <v>818</v>
      </c>
      <c r="D773" s="6">
        <v>3</v>
      </c>
      <c r="E773" s="26">
        <v>40149.62777777778</v>
      </c>
      <c r="F773" s="11">
        <v>2.5499999999999998</v>
      </c>
      <c r="G773" s="9">
        <v>16200</v>
      </c>
      <c r="H773" s="1" t="s">
        <v>9</v>
      </c>
      <c r="I773" s="3">
        <f t="shared" si="12"/>
        <v>7.6499999999999995</v>
      </c>
    </row>
    <row r="774" spans="1:9" ht="15.75" customHeight="1" x14ac:dyDescent="0.25">
      <c r="A774" s="9">
        <v>497798</v>
      </c>
      <c r="B774" s="2" t="s">
        <v>819</v>
      </c>
      <c r="C774" s="22" t="s">
        <v>820</v>
      </c>
      <c r="D774" s="6">
        <v>3</v>
      </c>
      <c r="E774" s="26">
        <v>40221.556944444441</v>
      </c>
      <c r="F774" s="11">
        <v>5.45</v>
      </c>
      <c r="G774" s="9">
        <v>12695</v>
      </c>
      <c r="H774" s="1" t="s">
        <v>28</v>
      </c>
      <c r="I774" s="3">
        <f t="shared" si="12"/>
        <v>16.350000000000001</v>
      </c>
    </row>
    <row r="775" spans="1:9" ht="15.75" customHeight="1" x14ac:dyDescent="0.25">
      <c r="A775" s="9">
        <v>508117</v>
      </c>
      <c r="B775" s="2">
        <v>22109</v>
      </c>
      <c r="C775" s="22" t="s">
        <v>821</v>
      </c>
      <c r="D775" s="6">
        <v>8</v>
      </c>
      <c r="E775" s="26">
        <v>40311.448611111111</v>
      </c>
      <c r="F775" s="11">
        <v>3.75</v>
      </c>
      <c r="G775" s="9">
        <v>18197</v>
      </c>
      <c r="H775" s="1" t="s">
        <v>9</v>
      </c>
      <c r="I775" s="3">
        <f t="shared" si="12"/>
        <v>30</v>
      </c>
    </row>
    <row r="776" spans="1:9" ht="15.75" customHeight="1" x14ac:dyDescent="0.25">
      <c r="A776" s="9">
        <v>524879</v>
      </c>
      <c r="B776" s="2">
        <v>22608</v>
      </c>
      <c r="C776" s="22" t="s">
        <v>822</v>
      </c>
      <c r="D776" s="6">
        <v>36</v>
      </c>
      <c r="E776" s="26">
        <v>40452.447916666657</v>
      </c>
      <c r="F776" s="11">
        <v>0.85</v>
      </c>
      <c r="G776" s="9">
        <v>16101</v>
      </c>
      <c r="H776" s="1" t="s">
        <v>9</v>
      </c>
      <c r="I776" s="3">
        <f t="shared" si="12"/>
        <v>30.599999999999998</v>
      </c>
    </row>
    <row r="777" spans="1:9" ht="15.75" customHeight="1" x14ac:dyDescent="0.25">
      <c r="A777" s="9">
        <v>504157</v>
      </c>
      <c r="B777" s="2">
        <v>84773</v>
      </c>
      <c r="C777" s="22" t="s">
        <v>823</v>
      </c>
      <c r="D777" s="6">
        <v>1</v>
      </c>
      <c r="E777" s="26">
        <v>40279.648611111108</v>
      </c>
      <c r="F777" s="11">
        <v>2.95</v>
      </c>
      <c r="G777" s="9">
        <v>17221</v>
      </c>
      <c r="H777" s="1" t="s">
        <v>9</v>
      </c>
      <c r="I777" s="3">
        <f t="shared" si="12"/>
        <v>2.95</v>
      </c>
    </row>
    <row r="778" spans="1:9" ht="15.75" customHeight="1" x14ac:dyDescent="0.25">
      <c r="A778" s="9">
        <v>491497</v>
      </c>
      <c r="B778" s="2">
        <v>21175</v>
      </c>
      <c r="C778" s="22" t="s">
        <v>118</v>
      </c>
      <c r="D778" s="6">
        <v>48</v>
      </c>
      <c r="E778" s="26">
        <v>40158.511805555558</v>
      </c>
      <c r="F778" s="11">
        <v>1.85</v>
      </c>
      <c r="G778" s="9">
        <v>17409</v>
      </c>
      <c r="H778" s="1" t="s">
        <v>9</v>
      </c>
      <c r="I778" s="3">
        <f t="shared" si="12"/>
        <v>88.800000000000011</v>
      </c>
    </row>
    <row r="779" spans="1:9" ht="15.75" customHeight="1" x14ac:dyDescent="0.25">
      <c r="A779" s="9">
        <v>512827</v>
      </c>
      <c r="B779" s="2">
        <v>21931</v>
      </c>
      <c r="C779" s="22" t="s">
        <v>434</v>
      </c>
      <c r="D779" s="6">
        <v>20</v>
      </c>
      <c r="E779" s="26">
        <v>40347.481944444437</v>
      </c>
      <c r="F779" s="11">
        <v>1.95</v>
      </c>
      <c r="G779" s="9">
        <v>15981</v>
      </c>
      <c r="H779" s="1" t="s">
        <v>9</v>
      </c>
      <c r="I779" s="3">
        <f t="shared" si="12"/>
        <v>39</v>
      </c>
    </row>
    <row r="780" spans="1:9" ht="15.75" customHeight="1" x14ac:dyDescent="0.25">
      <c r="A780" s="9">
        <v>526746</v>
      </c>
      <c r="B780" s="2" t="s">
        <v>277</v>
      </c>
      <c r="C780" s="22" t="s">
        <v>278</v>
      </c>
      <c r="D780" s="6">
        <v>10</v>
      </c>
      <c r="E780" s="26">
        <v>40464.388888888891</v>
      </c>
      <c r="F780" s="11">
        <v>1.95</v>
      </c>
      <c r="G780" s="9">
        <v>13985</v>
      </c>
      <c r="H780" s="1" t="s">
        <v>9</v>
      </c>
      <c r="I780" s="3">
        <f t="shared" si="12"/>
        <v>19.5</v>
      </c>
    </row>
    <row r="781" spans="1:9" ht="15.75" customHeight="1" x14ac:dyDescent="0.25">
      <c r="A781" s="9">
        <v>502419</v>
      </c>
      <c r="B781" s="2">
        <v>84880</v>
      </c>
      <c r="C781" s="22" t="s">
        <v>824</v>
      </c>
      <c r="D781" s="6">
        <v>2</v>
      </c>
      <c r="E781" s="26">
        <v>40261.510416666657</v>
      </c>
      <c r="F781" s="11">
        <v>5.95</v>
      </c>
      <c r="G781" s="9">
        <v>16300</v>
      </c>
      <c r="H781" s="1" t="s">
        <v>9</v>
      </c>
      <c r="I781" s="3">
        <f t="shared" si="12"/>
        <v>11.9</v>
      </c>
    </row>
    <row r="782" spans="1:9" ht="15.75" customHeight="1" x14ac:dyDescent="0.25">
      <c r="A782" s="9">
        <v>534631</v>
      </c>
      <c r="B782" s="2">
        <v>22516</v>
      </c>
      <c r="C782" s="22" t="s">
        <v>825</v>
      </c>
      <c r="D782" s="6">
        <v>1</v>
      </c>
      <c r="E782" s="26">
        <v>40505.539583333331</v>
      </c>
      <c r="F782" s="11">
        <v>2.1</v>
      </c>
      <c r="G782" s="9">
        <v>18047</v>
      </c>
      <c r="H782" s="1" t="s">
        <v>9</v>
      </c>
      <c r="I782" s="3">
        <f t="shared" si="12"/>
        <v>2.1</v>
      </c>
    </row>
    <row r="783" spans="1:9" ht="15.75" customHeight="1" x14ac:dyDescent="0.25">
      <c r="A783" s="9">
        <v>489866</v>
      </c>
      <c r="B783" s="2">
        <v>85151</v>
      </c>
      <c r="C783" s="22" t="s">
        <v>826</v>
      </c>
      <c r="D783" s="6">
        <v>5</v>
      </c>
      <c r="E783" s="26">
        <v>40149.62777777778</v>
      </c>
      <c r="F783" s="11">
        <v>1.25</v>
      </c>
      <c r="G783" s="9">
        <v>16200</v>
      </c>
      <c r="H783" s="1" t="s">
        <v>981</v>
      </c>
      <c r="I783" s="3">
        <f t="shared" si="12"/>
        <v>6.25</v>
      </c>
    </row>
    <row r="784" spans="1:9" ht="15.75" customHeight="1" x14ac:dyDescent="0.25">
      <c r="A784" s="9">
        <v>529850</v>
      </c>
      <c r="B784" s="2">
        <v>21827</v>
      </c>
      <c r="C784" s="22" t="s">
        <v>827</v>
      </c>
      <c r="D784" s="6">
        <v>3</v>
      </c>
      <c r="E784" s="26">
        <v>40482.565972222219</v>
      </c>
      <c r="F784" s="11">
        <v>1.25</v>
      </c>
      <c r="G784" s="9">
        <v>16788</v>
      </c>
      <c r="H784" s="1" t="s">
        <v>9</v>
      </c>
      <c r="I784" s="3">
        <f t="shared" si="12"/>
        <v>3.75</v>
      </c>
    </row>
    <row r="785" spans="1:9" ht="15.75" customHeight="1" x14ac:dyDescent="0.25">
      <c r="A785" s="9">
        <v>490669</v>
      </c>
      <c r="B785" s="2" t="s">
        <v>482</v>
      </c>
      <c r="C785" s="22" t="s">
        <v>483</v>
      </c>
      <c r="D785" s="6">
        <v>2</v>
      </c>
      <c r="E785" s="26">
        <v>40154.529166666667</v>
      </c>
      <c r="F785" s="11">
        <v>3.75</v>
      </c>
      <c r="G785" s="9">
        <v>15716</v>
      </c>
      <c r="H785" s="1" t="s">
        <v>9</v>
      </c>
      <c r="I785" s="3">
        <f t="shared" si="12"/>
        <v>7.5</v>
      </c>
    </row>
    <row r="786" spans="1:9" ht="15.75" customHeight="1" x14ac:dyDescent="0.25">
      <c r="A786" s="9" t="s">
        <v>829</v>
      </c>
      <c r="B786" s="2">
        <v>85141</v>
      </c>
      <c r="C786" s="22" t="s">
        <v>767</v>
      </c>
      <c r="D786" s="6">
        <v>-1</v>
      </c>
      <c r="E786" s="26">
        <v>40449.775694444441</v>
      </c>
      <c r="F786" s="11">
        <v>10.75</v>
      </c>
      <c r="G786" s="9">
        <v>13980</v>
      </c>
      <c r="H786" s="1" t="s">
        <v>9</v>
      </c>
      <c r="I786" s="3">
        <f t="shared" si="12"/>
        <v>-10.75</v>
      </c>
    </row>
    <row r="787" spans="1:9" ht="15.75" customHeight="1" x14ac:dyDescent="0.25">
      <c r="A787" s="9">
        <v>526201</v>
      </c>
      <c r="B787" s="2" t="s">
        <v>830</v>
      </c>
      <c r="C787" s="22" t="s">
        <v>831</v>
      </c>
      <c r="D787" s="6">
        <v>6</v>
      </c>
      <c r="E787" s="26">
        <v>40461.54583333333</v>
      </c>
      <c r="F787" s="11">
        <v>3.75</v>
      </c>
      <c r="G787" s="9">
        <v>14820</v>
      </c>
      <c r="H787" s="1" t="s">
        <v>9</v>
      </c>
      <c r="I787" s="3">
        <f t="shared" si="12"/>
        <v>22.5</v>
      </c>
    </row>
    <row r="788" spans="1:9" ht="15.75" customHeight="1" x14ac:dyDescent="0.25">
      <c r="A788" s="9">
        <v>534512</v>
      </c>
      <c r="B788" s="2">
        <v>84678</v>
      </c>
      <c r="C788" s="22" t="s">
        <v>832</v>
      </c>
      <c r="D788" s="6">
        <v>6</v>
      </c>
      <c r="E788" s="26">
        <v>40505.493750000001</v>
      </c>
      <c r="F788" s="11">
        <v>2.5499999999999998</v>
      </c>
      <c r="G788" s="9">
        <v>14679</v>
      </c>
      <c r="H788" s="1" t="s">
        <v>9</v>
      </c>
      <c r="I788" s="3">
        <f t="shared" si="12"/>
        <v>15.299999999999999</v>
      </c>
    </row>
    <row r="789" spans="1:9" ht="15.75" customHeight="1" x14ac:dyDescent="0.25">
      <c r="A789" s="9">
        <v>507398</v>
      </c>
      <c r="B789" s="2">
        <v>22507</v>
      </c>
      <c r="C789" s="22" t="s">
        <v>833</v>
      </c>
      <c r="D789" s="6">
        <v>2</v>
      </c>
      <c r="E789" s="26">
        <v>40307.552083333343</v>
      </c>
      <c r="F789" s="11">
        <v>4.95</v>
      </c>
      <c r="G789" s="9">
        <v>17913</v>
      </c>
      <c r="H789" s="1" t="s">
        <v>9</v>
      </c>
      <c r="I789" s="3">
        <f t="shared" si="12"/>
        <v>9.9</v>
      </c>
    </row>
    <row r="790" spans="1:9" ht="15.75" customHeight="1" x14ac:dyDescent="0.25">
      <c r="A790" s="9">
        <v>496427</v>
      </c>
      <c r="B790" s="2">
        <v>21746</v>
      </c>
      <c r="C790" s="22" t="s">
        <v>834</v>
      </c>
      <c r="D790" s="6">
        <v>3</v>
      </c>
      <c r="E790" s="26">
        <v>40210.509027777778</v>
      </c>
      <c r="F790" s="11">
        <v>1.25</v>
      </c>
      <c r="G790" s="9">
        <v>17841</v>
      </c>
      <c r="H790" s="1" t="s">
        <v>9</v>
      </c>
      <c r="I790" s="3">
        <f t="shared" si="12"/>
        <v>3.75</v>
      </c>
    </row>
    <row r="791" spans="1:9" ht="15.75" customHeight="1" x14ac:dyDescent="0.25">
      <c r="A791" s="9">
        <v>530014</v>
      </c>
      <c r="B791" s="2">
        <v>20676</v>
      </c>
      <c r="C791" s="22" t="s">
        <v>835</v>
      </c>
      <c r="D791" s="6">
        <v>4</v>
      </c>
      <c r="E791" s="26">
        <v>40483.442361111112</v>
      </c>
      <c r="F791" s="11">
        <v>1.25</v>
      </c>
      <c r="G791" s="9" t="s">
        <v>836</v>
      </c>
      <c r="H791" s="1" t="s">
        <v>9</v>
      </c>
      <c r="I791" s="3">
        <f t="shared" si="12"/>
        <v>5</v>
      </c>
    </row>
    <row r="792" spans="1:9" ht="15.75" customHeight="1" x14ac:dyDescent="0.25">
      <c r="A792" s="9">
        <v>511357</v>
      </c>
      <c r="B792" s="2">
        <v>21669</v>
      </c>
      <c r="C792" s="22" t="s">
        <v>733</v>
      </c>
      <c r="D792" s="6">
        <v>12</v>
      </c>
      <c r="E792" s="26">
        <v>40337.457638888889</v>
      </c>
      <c r="F792" s="11">
        <v>1.25</v>
      </c>
      <c r="G792" s="9">
        <v>17849</v>
      </c>
      <c r="H792" s="1" t="s">
        <v>9</v>
      </c>
      <c r="I792" s="3">
        <f t="shared" si="12"/>
        <v>15</v>
      </c>
    </row>
    <row r="793" spans="1:9" ht="15.75" customHeight="1" x14ac:dyDescent="0.25">
      <c r="A793" s="9" t="s">
        <v>837</v>
      </c>
      <c r="B793" s="2">
        <v>22667</v>
      </c>
      <c r="C793" s="22" t="s">
        <v>838</v>
      </c>
      <c r="D793" s="6">
        <v>-2</v>
      </c>
      <c r="E793" s="26">
        <v>40476.556250000001</v>
      </c>
      <c r="F793" s="11">
        <v>2.95</v>
      </c>
      <c r="G793" s="9">
        <v>13502</v>
      </c>
      <c r="H793" s="1" t="s">
        <v>9</v>
      </c>
      <c r="I793" s="3">
        <f t="shared" si="12"/>
        <v>-5.9</v>
      </c>
    </row>
    <row r="794" spans="1:9" ht="15.75" customHeight="1" x14ac:dyDescent="0.25">
      <c r="A794" s="9">
        <v>505847</v>
      </c>
      <c r="B794" s="2">
        <v>47505</v>
      </c>
      <c r="C794" s="22" t="s">
        <v>839</v>
      </c>
      <c r="D794" s="6">
        <v>3</v>
      </c>
      <c r="E794" s="26">
        <v>40294.507638888892</v>
      </c>
      <c r="F794" s="11">
        <v>4.95</v>
      </c>
      <c r="G794" s="9">
        <v>14710</v>
      </c>
      <c r="H794" s="1" t="s">
        <v>9</v>
      </c>
      <c r="I794" s="3">
        <f t="shared" si="12"/>
        <v>14.850000000000001</v>
      </c>
    </row>
    <row r="795" spans="1:9" ht="15.75" customHeight="1" x14ac:dyDescent="0.25">
      <c r="A795" s="9">
        <v>518902</v>
      </c>
      <c r="B795" s="2">
        <v>22591</v>
      </c>
      <c r="C795" s="22" t="s">
        <v>840</v>
      </c>
      <c r="D795" s="6">
        <v>4</v>
      </c>
      <c r="E795" s="26">
        <v>40402.59375</v>
      </c>
      <c r="F795" s="11">
        <v>2.5499999999999998</v>
      </c>
      <c r="G795" s="9">
        <v>14461</v>
      </c>
      <c r="H795" s="1" t="s">
        <v>9</v>
      </c>
      <c r="I795" s="3">
        <f t="shared" si="12"/>
        <v>10.199999999999999</v>
      </c>
    </row>
    <row r="796" spans="1:9" ht="15.75" customHeight="1" x14ac:dyDescent="0.25">
      <c r="A796" s="9">
        <v>532725</v>
      </c>
      <c r="B796" s="2">
        <v>22121</v>
      </c>
      <c r="C796" s="22" t="s">
        <v>841</v>
      </c>
      <c r="D796" s="6">
        <v>2</v>
      </c>
      <c r="E796" s="26">
        <v>40496.540972222218</v>
      </c>
      <c r="F796" s="11">
        <v>5.95</v>
      </c>
      <c r="G796" s="9">
        <v>16983</v>
      </c>
      <c r="H796" s="1" t="s">
        <v>9</v>
      </c>
      <c r="I796" s="3">
        <f t="shared" si="12"/>
        <v>11.9</v>
      </c>
    </row>
    <row r="797" spans="1:9" ht="15.75" customHeight="1" x14ac:dyDescent="0.25">
      <c r="A797" s="9">
        <v>515115</v>
      </c>
      <c r="B797" s="2">
        <v>21936</v>
      </c>
      <c r="C797" s="22" t="s">
        <v>842</v>
      </c>
      <c r="D797" s="6">
        <v>1</v>
      </c>
      <c r="E797" s="26">
        <v>40367.546527777777</v>
      </c>
      <c r="F797" s="11">
        <v>2.95</v>
      </c>
      <c r="G797" s="9">
        <v>16383</v>
      </c>
      <c r="H797" s="1" t="s">
        <v>9</v>
      </c>
      <c r="I797" s="3">
        <f t="shared" si="12"/>
        <v>2.95</v>
      </c>
    </row>
    <row r="798" spans="1:9" ht="15.75" customHeight="1" x14ac:dyDescent="0.25">
      <c r="A798" s="9">
        <v>497732</v>
      </c>
      <c r="B798" s="2" t="s">
        <v>843</v>
      </c>
      <c r="C798" s="22" t="s">
        <v>844</v>
      </c>
      <c r="D798" s="6">
        <v>4</v>
      </c>
      <c r="E798" s="26">
        <v>40220.775000000001</v>
      </c>
      <c r="F798" s="11">
        <v>1.25</v>
      </c>
      <c r="G798" s="9">
        <v>13291</v>
      </c>
      <c r="H798" s="1" t="s">
        <v>9</v>
      </c>
      <c r="I798" s="3">
        <f t="shared" si="12"/>
        <v>5</v>
      </c>
    </row>
    <row r="799" spans="1:9" ht="15.75" customHeight="1" x14ac:dyDescent="0.25">
      <c r="A799" s="9">
        <v>506285</v>
      </c>
      <c r="B799" s="2">
        <v>21651</v>
      </c>
      <c r="C799" s="22" t="s">
        <v>73</v>
      </c>
      <c r="D799" s="6">
        <v>6</v>
      </c>
      <c r="E799" s="26">
        <v>40296.700694444437</v>
      </c>
      <c r="F799" s="11">
        <v>1.65</v>
      </c>
      <c r="G799" s="9">
        <v>16767</v>
      </c>
      <c r="H799" s="1" t="s">
        <v>9</v>
      </c>
      <c r="I799" s="3">
        <f t="shared" si="12"/>
        <v>9.8999999999999986</v>
      </c>
    </row>
    <row r="800" spans="1:9" ht="15.75" customHeight="1" x14ac:dyDescent="0.25">
      <c r="A800" s="9">
        <v>536618</v>
      </c>
      <c r="B800" s="2">
        <v>22943</v>
      </c>
      <c r="C800" s="22" t="s">
        <v>845</v>
      </c>
      <c r="D800" s="6" t="s">
        <v>342</v>
      </c>
      <c r="E800" s="26">
        <v>40514.428472222222</v>
      </c>
      <c r="F800" s="11">
        <v>4.25</v>
      </c>
      <c r="G800" s="9">
        <v>17017</v>
      </c>
      <c r="H800" s="1" t="s">
        <v>9</v>
      </c>
      <c r="I800" s="3">
        <f t="shared" si="12"/>
        <v>102</v>
      </c>
    </row>
    <row r="801" spans="1:9" ht="15.75" customHeight="1" x14ac:dyDescent="0.25">
      <c r="A801" s="9">
        <v>538056</v>
      </c>
      <c r="B801" s="2" t="s">
        <v>846</v>
      </c>
      <c r="C801" s="22" t="s">
        <v>847</v>
      </c>
      <c r="D801" s="6">
        <v>4</v>
      </c>
      <c r="E801" s="26">
        <v>40521.56527777778</v>
      </c>
      <c r="F801" s="11">
        <v>8.9499999999999993</v>
      </c>
      <c r="G801" s="9">
        <v>17198</v>
      </c>
      <c r="H801" s="1" t="s">
        <v>9</v>
      </c>
      <c r="I801" s="3">
        <f t="shared" si="12"/>
        <v>35.799999999999997</v>
      </c>
    </row>
    <row r="802" spans="1:9" ht="15.75" customHeight="1" x14ac:dyDescent="0.25">
      <c r="A802" s="9">
        <v>523586</v>
      </c>
      <c r="B802" s="2">
        <v>22470</v>
      </c>
      <c r="C802" s="22" t="s">
        <v>164</v>
      </c>
      <c r="D802" s="6">
        <v>40</v>
      </c>
      <c r="E802" s="26">
        <v>40444.370833333327</v>
      </c>
      <c r="F802" s="11">
        <v>2.5499999999999998</v>
      </c>
      <c r="G802" s="9">
        <v>14648</v>
      </c>
      <c r="H802" s="1" t="s">
        <v>9</v>
      </c>
      <c r="I802" s="3">
        <f t="shared" si="12"/>
        <v>102</v>
      </c>
    </row>
    <row r="803" spans="1:9" ht="15.75" customHeight="1" x14ac:dyDescent="0.25">
      <c r="A803" s="9">
        <v>534232</v>
      </c>
      <c r="B803" s="2">
        <v>84879</v>
      </c>
      <c r="C803" s="22" t="s">
        <v>143</v>
      </c>
      <c r="D803" s="6">
        <v>16</v>
      </c>
      <c r="E803" s="26">
        <v>40504.418749999997</v>
      </c>
      <c r="F803" s="11">
        <v>1.69</v>
      </c>
      <c r="G803" s="9">
        <v>17782</v>
      </c>
      <c r="H803" s="1" t="s">
        <v>9</v>
      </c>
      <c r="I803" s="3">
        <f t="shared" si="12"/>
        <v>27.04</v>
      </c>
    </row>
    <row r="804" spans="1:9" ht="15.75" customHeight="1" x14ac:dyDescent="0.25">
      <c r="A804" s="9">
        <v>531566</v>
      </c>
      <c r="B804" s="2">
        <v>84879</v>
      </c>
      <c r="C804" s="22" t="s">
        <v>143</v>
      </c>
      <c r="D804" s="6">
        <v>24</v>
      </c>
      <c r="E804" s="27" t="s">
        <v>848</v>
      </c>
      <c r="F804" s="11">
        <v>1.69</v>
      </c>
      <c r="G804" s="9">
        <v>14902</v>
      </c>
      <c r="H804" s="1" t="s">
        <v>9</v>
      </c>
      <c r="I804" s="3">
        <f t="shared" si="12"/>
        <v>40.56</v>
      </c>
    </row>
    <row r="805" spans="1:9" ht="15.75" customHeight="1" x14ac:dyDescent="0.25">
      <c r="A805" s="9">
        <v>513768</v>
      </c>
      <c r="B805" s="2">
        <v>22606</v>
      </c>
      <c r="C805" s="22" t="s">
        <v>849</v>
      </c>
      <c r="D805" s="6">
        <v>4</v>
      </c>
      <c r="E805" s="26">
        <v>40357.571527777778</v>
      </c>
      <c r="F805" s="11">
        <v>12.75</v>
      </c>
      <c r="G805" s="9">
        <v>17667</v>
      </c>
      <c r="H805" s="1" t="s">
        <v>9</v>
      </c>
      <c r="I805" s="3">
        <f t="shared" si="12"/>
        <v>51</v>
      </c>
    </row>
    <row r="806" spans="1:9" ht="15.75" customHeight="1" x14ac:dyDescent="0.25">
      <c r="A806" s="9">
        <v>523309</v>
      </c>
      <c r="B806" s="2">
        <v>20712</v>
      </c>
      <c r="C806" s="22" t="s">
        <v>67</v>
      </c>
      <c r="D806" s="6">
        <v>10</v>
      </c>
      <c r="E806" s="26">
        <v>40442.547222222223</v>
      </c>
      <c r="F806" s="11">
        <v>1.95</v>
      </c>
      <c r="G806" s="9">
        <v>14156</v>
      </c>
      <c r="H806" s="1" t="s">
        <v>978</v>
      </c>
      <c r="I806" s="3">
        <f t="shared" si="12"/>
        <v>19.5</v>
      </c>
    </row>
    <row r="807" spans="1:9" ht="15.75" customHeight="1" x14ac:dyDescent="0.25">
      <c r="A807" s="9">
        <v>519602</v>
      </c>
      <c r="B807" s="2" t="s">
        <v>153</v>
      </c>
      <c r="C807" s="22" t="s">
        <v>154</v>
      </c>
      <c r="D807" s="6">
        <v>6</v>
      </c>
      <c r="E807" s="26">
        <v>40408.666666666657</v>
      </c>
      <c r="F807" s="11">
        <v>2.95</v>
      </c>
      <c r="G807" s="9">
        <v>18226</v>
      </c>
      <c r="H807" s="1" t="s">
        <v>9</v>
      </c>
      <c r="I807" s="3">
        <f t="shared" si="12"/>
        <v>17.700000000000003</v>
      </c>
    </row>
    <row r="808" spans="1:9" ht="15.75" customHeight="1" x14ac:dyDescent="0.25">
      <c r="A808" s="9">
        <v>524207</v>
      </c>
      <c r="B808" s="2">
        <v>20702</v>
      </c>
      <c r="C808" s="22" t="s">
        <v>525</v>
      </c>
      <c r="D808" s="6">
        <v>6</v>
      </c>
      <c r="E808" s="26">
        <v>40449.440972222219</v>
      </c>
      <c r="F808" s="11">
        <v>4.25</v>
      </c>
      <c r="G808" s="9">
        <v>12648</v>
      </c>
      <c r="H808" s="1" t="s">
        <v>17</v>
      </c>
      <c r="I808" s="3">
        <f t="shared" si="12"/>
        <v>25.5</v>
      </c>
    </row>
    <row r="809" spans="1:9" ht="15.75" customHeight="1" x14ac:dyDescent="0.25">
      <c r="A809" s="9">
        <v>516111</v>
      </c>
      <c r="B809" s="2">
        <v>48187</v>
      </c>
      <c r="C809" s="22" t="s">
        <v>851</v>
      </c>
      <c r="D809" s="6">
        <v>2</v>
      </c>
      <c r="E809" s="26">
        <v>40375.556250000001</v>
      </c>
      <c r="F809" s="11">
        <v>7.49</v>
      </c>
      <c r="G809" s="9">
        <v>13728</v>
      </c>
      <c r="H809" s="1" t="s">
        <v>9</v>
      </c>
      <c r="I809" s="3">
        <f t="shared" si="12"/>
        <v>14.98</v>
      </c>
    </row>
    <row r="810" spans="1:9" ht="15.75" customHeight="1" x14ac:dyDescent="0.25">
      <c r="A810" s="9">
        <v>534091</v>
      </c>
      <c r="B810" s="2">
        <v>22945</v>
      </c>
      <c r="C810" s="22" t="s">
        <v>852</v>
      </c>
      <c r="D810" s="6">
        <v>18</v>
      </c>
      <c r="E810" s="26">
        <v>40503.498611111107</v>
      </c>
      <c r="F810" s="11">
        <v>0.85</v>
      </c>
      <c r="G810" s="9">
        <v>14499</v>
      </c>
      <c r="H810" s="1" t="s">
        <v>9</v>
      </c>
      <c r="I810" s="3">
        <f t="shared" si="12"/>
        <v>15.299999999999999</v>
      </c>
    </row>
    <row r="811" spans="1:9" ht="15.75" customHeight="1" x14ac:dyDescent="0.25">
      <c r="A811" s="9">
        <v>519404</v>
      </c>
      <c r="B811" s="2">
        <v>22557</v>
      </c>
      <c r="C811" s="22" t="s">
        <v>853</v>
      </c>
      <c r="D811" s="6">
        <v>96</v>
      </c>
      <c r="E811" s="26">
        <v>40407.37222222222</v>
      </c>
      <c r="F811" s="11">
        <v>1.45</v>
      </c>
      <c r="G811" s="9">
        <v>14646</v>
      </c>
      <c r="H811" s="1" t="s">
        <v>116</v>
      </c>
      <c r="I811" s="3">
        <f t="shared" si="12"/>
        <v>139.19999999999999</v>
      </c>
    </row>
    <row r="812" spans="1:9" ht="15.75" customHeight="1" x14ac:dyDescent="0.25">
      <c r="A812" s="9">
        <v>532993</v>
      </c>
      <c r="B812" s="2">
        <v>16235</v>
      </c>
      <c r="C812" s="22" t="s">
        <v>854</v>
      </c>
      <c r="D812" s="6">
        <v>60</v>
      </c>
      <c r="E812" s="26">
        <v>40497.601388888892</v>
      </c>
      <c r="F812" s="11">
        <v>0.21</v>
      </c>
      <c r="G812" s="9">
        <v>14156</v>
      </c>
      <c r="H812" s="1" t="s">
        <v>978</v>
      </c>
      <c r="I812" s="3">
        <f t="shared" si="12"/>
        <v>12.6</v>
      </c>
    </row>
    <row r="813" spans="1:9" ht="15.75" customHeight="1" x14ac:dyDescent="0.25">
      <c r="A813" s="9">
        <v>525068</v>
      </c>
      <c r="B813" s="2">
        <v>35965</v>
      </c>
      <c r="C813" s="22" t="s">
        <v>855</v>
      </c>
      <c r="D813" s="6">
        <v>6</v>
      </c>
      <c r="E813" s="26">
        <v>40454.609027777777</v>
      </c>
      <c r="F813" s="11">
        <v>2.95</v>
      </c>
      <c r="G813" s="9">
        <v>15579</v>
      </c>
      <c r="H813" s="1" t="s">
        <v>9</v>
      </c>
      <c r="I813" s="3">
        <f t="shared" si="12"/>
        <v>17.700000000000003</v>
      </c>
    </row>
    <row r="814" spans="1:9" ht="15.75" customHeight="1" x14ac:dyDescent="0.25">
      <c r="A814" s="9">
        <v>505499</v>
      </c>
      <c r="B814" s="2">
        <v>21429</v>
      </c>
      <c r="C814" s="22" t="s">
        <v>856</v>
      </c>
      <c r="D814" s="6">
        <v>8</v>
      </c>
      <c r="E814" s="26">
        <v>40290.566666666673</v>
      </c>
      <c r="F814" s="11">
        <v>1.65</v>
      </c>
      <c r="G814" s="9">
        <v>16862</v>
      </c>
      <c r="H814" s="1" t="s">
        <v>9</v>
      </c>
      <c r="I814" s="3">
        <f t="shared" si="12"/>
        <v>13.2</v>
      </c>
    </row>
    <row r="815" spans="1:9" ht="15.75" customHeight="1" x14ac:dyDescent="0.25">
      <c r="A815" s="9">
        <v>512426</v>
      </c>
      <c r="B815" s="2">
        <v>22469</v>
      </c>
      <c r="C815" s="22" t="s">
        <v>663</v>
      </c>
      <c r="D815" s="6">
        <v>4</v>
      </c>
      <c r="E815" s="26">
        <v>40344.625</v>
      </c>
      <c r="F815" s="11">
        <v>1.65</v>
      </c>
      <c r="G815" s="9">
        <v>13168</v>
      </c>
      <c r="H815" s="1" t="s">
        <v>9</v>
      </c>
      <c r="I815" s="3">
        <f t="shared" si="12"/>
        <v>6.6</v>
      </c>
    </row>
    <row r="816" spans="1:9" ht="15.75" customHeight="1" x14ac:dyDescent="0.25">
      <c r="A816" s="9">
        <v>532821</v>
      </c>
      <c r="B816" s="2">
        <v>22441</v>
      </c>
      <c r="C816" s="22" t="s">
        <v>255</v>
      </c>
      <c r="D816" s="6">
        <v>5</v>
      </c>
      <c r="E816" s="26">
        <v>40496.688888888893</v>
      </c>
      <c r="F816" s="11">
        <v>2.1</v>
      </c>
      <c r="G816" s="9">
        <v>14382</v>
      </c>
      <c r="H816" s="1" t="s">
        <v>9</v>
      </c>
      <c r="I816" s="3">
        <f t="shared" si="12"/>
        <v>10.5</v>
      </c>
    </row>
    <row r="817" spans="1:9" ht="15.75" customHeight="1" x14ac:dyDescent="0.25">
      <c r="A817" s="9">
        <v>511501</v>
      </c>
      <c r="B817" s="2">
        <v>21109</v>
      </c>
      <c r="C817" s="22" t="s">
        <v>583</v>
      </c>
      <c r="D817" s="6">
        <v>1</v>
      </c>
      <c r="E817" s="26">
        <v>40337.619444444441</v>
      </c>
      <c r="F817" s="11">
        <v>6.75</v>
      </c>
      <c r="G817" s="9">
        <v>15532</v>
      </c>
      <c r="H817" s="1" t="s">
        <v>9</v>
      </c>
      <c r="I817" s="3">
        <f t="shared" si="12"/>
        <v>6.75</v>
      </c>
    </row>
    <row r="818" spans="1:9" ht="15.75" customHeight="1" x14ac:dyDescent="0.25">
      <c r="A818" s="9">
        <v>500347</v>
      </c>
      <c r="B818" s="2">
        <v>21788</v>
      </c>
      <c r="C818" s="22" t="s">
        <v>857</v>
      </c>
      <c r="D818" s="6">
        <v>24</v>
      </c>
      <c r="E818" s="26">
        <v>40244.619444444441</v>
      </c>
      <c r="F818" s="11">
        <v>0.85</v>
      </c>
      <c r="G818" s="9">
        <v>15631</v>
      </c>
      <c r="H818" s="1" t="s">
        <v>9</v>
      </c>
      <c r="I818" s="3">
        <f t="shared" si="12"/>
        <v>20.399999999999999</v>
      </c>
    </row>
    <row r="819" spans="1:9" ht="15.75" customHeight="1" x14ac:dyDescent="0.25">
      <c r="A819" s="9">
        <v>528737</v>
      </c>
      <c r="B819" s="2">
        <v>82600</v>
      </c>
      <c r="C819" s="22" t="s">
        <v>268</v>
      </c>
      <c r="D819" s="6">
        <v>12</v>
      </c>
      <c r="E819" s="26">
        <v>40475.587500000001</v>
      </c>
      <c r="F819" s="11">
        <v>2.1</v>
      </c>
      <c r="G819" s="9">
        <v>18065</v>
      </c>
      <c r="H819" s="1" t="s">
        <v>9</v>
      </c>
      <c r="I819" s="3">
        <f t="shared" si="12"/>
        <v>25.200000000000003</v>
      </c>
    </row>
    <row r="820" spans="1:9" ht="15.75" customHeight="1" x14ac:dyDescent="0.25">
      <c r="A820" s="9">
        <v>517106</v>
      </c>
      <c r="B820" s="2">
        <v>22493</v>
      </c>
      <c r="C820" s="22" t="s">
        <v>858</v>
      </c>
      <c r="D820" s="6">
        <v>5</v>
      </c>
      <c r="E820" s="26">
        <v>40385.636805555558</v>
      </c>
      <c r="F820" s="11">
        <v>1.65</v>
      </c>
      <c r="G820" s="9">
        <v>12867</v>
      </c>
      <c r="H820" s="1" t="s">
        <v>9</v>
      </c>
      <c r="I820" s="3">
        <f t="shared" si="12"/>
        <v>8.25</v>
      </c>
    </row>
    <row r="821" spans="1:9" ht="15.75" customHeight="1" x14ac:dyDescent="0.25">
      <c r="A821" s="9">
        <v>531806</v>
      </c>
      <c r="B821" s="2">
        <v>22904</v>
      </c>
      <c r="C821" s="22" t="s">
        <v>216</v>
      </c>
      <c r="D821" s="6">
        <v>3</v>
      </c>
      <c r="E821" s="26">
        <v>40491.673611111109</v>
      </c>
      <c r="F821" s="11">
        <v>2.95</v>
      </c>
      <c r="G821" s="9">
        <v>17757</v>
      </c>
      <c r="H821" s="1" t="s">
        <v>9</v>
      </c>
      <c r="I821" s="3">
        <f t="shared" si="12"/>
        <v>8.8500000000000014</v>
      </c>
    </row>
    <row r="822" spans="1:9" ht="15.75" customHeight="1" x14ac:dyDescent="0.25">
      <c r="A822" s="9">
        <v>537050</v>
      </c>
      <c r="B822" s="2">
        <v>22551</v>
      </c>
      <c r="C822" s="22" t="s">
        <v>69</v>
      </c>
      <c r="D822" s="6">
        <v>2</v>
      </c>
      <c r="E822" s="26">
        <v>40517.465277777781</v>
      </c>
      <c r="F822" s="11">
        <v>1.65</v>
      </c>
      <c r="G822" s="9">
        <v>14800</v>
      </c>
      <c r="H822" s="1" t="s">
        <v>9</v>
      </c>
      <c r="I822" s="3">
        <f t="shared" si="12"/>
        <v>3.3</v>
      </c>
    </row>
    <row r="823" spans="1:9" ht="15.75" customHeight="1" x14ac:dyDescent="0.25">
      <c r="A823" s="9">
        <v>531439</v>
      </c>
      <c r="B823" s="2" t="s">
        <v>232</v>
      </c>
      <c r="C823" s="22" t="s">
        <v>233</v>
      </c>
      <c r="D823" s="6">
        <v>6</v>
      </c>
      <c r="E823" s="26">
        <v>40490.515277777777</v>
      </c>
      <c r="F823" s="11">
        <v>2.95</v>
      </c>
      <c r="G823" s="9" t="s">
        <v>859</v>
      </c>
      <c r="H823" s="1" t="s">
        <v>9</v>
      </c>
      <c r="I823" s="3">
        <f t="shared" si="12"/>
        <v>17.700000000000003</v>
      </c>
    </row>
    <row r="824" spans="1:9" ht="15.75" customHeight="1" x14ac:dyDescent="0.25">
      <c r="A824" s="9">
        <v>502764</v>
      </c>
      <c r="B824" s="2">
        <v>21284</v>
      </c>
      <c r="C824" s="22" t="s">
        <v>860</v>
      </c>
      <c r="D824" s="6">
        <v>12</v>
      </c>
      <c r="E824" s="26">
        <v>40263.584027777782</v>
      </c>
      <c r="F824" s="11">
        <v>1.69</v>
      </c>
      <c r="G824" s="9">
        <v>12477</v>
      </c>
      <c r="H824" s="1" t="s">
        <v>17</v>
      </c>
      <c r="I824" s="3">
        <f t="shared" si="12"/>
        <v>20.28</v>
      </c>
    </row>
    <row r="825" spans="1:9" ht="15.75" customHeight="1" x14ac:dyDescent="0.25">
      <c r="A825" s="9">
        <v>503295</v>
      </c>
      <c r="B825" s="2">
        <v>22326</v>
      </c>
      <c r="C825" s="22" t="s">
        <v>861</v>
      </c>
      <c r="D825" s="6">
        <v>6</v>
      </c>
      <c r="E825" s="27" t="s">
        <v>862</v>
      </c>
      <c r="F825" s="11">
        <v>2.95</v>
      </c>
      <c r="G825" s="9">
        <v>13179</v>
      </c>
      <c r="H825" s="1" t="s">
        <v>9</v>
      </c>
      <c r="I825" s="3">
        <f t="shared" si="12"/>
        <v>17.700000000000003</v>
      </c>
    </row>
    <row r="826" spans="1:9" ht="15.75" customHeight="1" x14ac:dyDescent="0.25">
      <c r="A826" s="9">
        <v>532798</v>
      </c>
      <c r="B826" s="2">
        <v>22026</v>
      </c>
      <c r="C826" s="22" t="s">
        <v>555</v>
      </c>
      <c r="D826" s="6">
        <v>12</v>
      </c>
      <c r="E826" s="26">
        <v>40496.615972222222</v>
      </c>
      <c r="F826" s="11">
        <v>0.42</v>
      </c>
      <c r="G826" s="9">
        <v>17544</v>
      </c>
      <c r="H826" s="1" t="s">
        <v>9</v>
      </c>
      <c r="I826" s="3">
        <f t="shared" si="12"/>
        <v>5.04</v>
      </c>
    </row>
    <row r="827" spans="1:9" ht="15.75" customHeight="1" x14ac:dyDescent="0.25">
      <c r="A827" s="9">
        <v>498570</v>
      </c>
      <c r="B827" s="2">
        <v>22202</v>
      </c>
      <c r="C827" s="22" t="s">
        <v>863</v>
      </c>
      <c r="D827" s="6">
        <v>1</v>
      </c>
      <c r="E827" s="26">
        <v>40230.536111111112</v>
      </c>
      <c r="F827" s="11">
        <v>3.75</v>
      </c>
      <c r="G827" s="9">
        <v>15059</v>
      </c>
      <c r="H827" s="1" t="s">
        <v>9</v>
      </c>
      <c r="I827" s="3">
        <f t="shared" si="12"/>
        <v>3.75</v>
      </c>
    </row>
    <row r="828" spans="1:9" ht="15.75" customHeight="1" x14ac:dyDescent="0.25">
      <c r="A828" s="9">
        <v>490461</v>
      </c>
      <c r="B828" s="2">
        <v>22218</v>
      </c>
      <c r="C828" s="22" t="s">
        <v>589</v>
      </c>
      <c r="D828" s="6">
        <v>2</v>
      </c>
      <c r="E828" s="26">
        <v>40153.504861111112</v>
      </c>
      <c r="F828" s="11">
        <v>4.25</v>
      </c>
      <c r="G828" s="9">
        <v>13736</v>
      </c>
      <c r="H828" s="1" t="s">
        <v>9</v>
      </c>
      <c r="I828" s="3">
        <f t="shared" si="12"/>
        <v>8.5</v>
      </c>
    </row>
    <row r="829" spans="1:9" ht="15.75" customHeight="1" x14ac:dyDescent="0.25">
      <c r="A829" s="9">
        <v>523369</v>
      </c>
      <c r="B829" s="2">
        <v>21527</v>
      </c>
      <c r="C829" s="22" t="s">
        <v>864</v>
      </c>
      <c r="D829" s="6">
        <v>6</v>
      </c>
      <c r="E829" s="26">
        <v>40442.770833333343</v>
      </c>
      <c r="F829" s="11">
        <v>7.95</v>
      </c>
      <c r="G829" s="9">
        <v>14113</v>
      </c>
      <c r="H829" s="1" t="s">
        <v>9</v>
      </c>
      <c r="I829" s="3">
        <f t="shared" si="12"/>
        <v>47.7</v>
      </c>
    </row>
    <row r="830" spans="1:9" ht="15.75" customHeight="1" x14ac:dyDescent="0.25">
      <c r="A830" s="9">
        <v>499874</v>
      </c>
      <c r="B830" s="2">
        <v>21390</v>
      </c>
      <c r="C830" s="22" t="s">
        <v>865</v>
      </c>
      <c r="D830" s="6">
        <v>24</v>
      </c>
      <c r="E830" s="26">
        <v>40240.362500000003</v>
      </c>
      <c r="F830" s="11">
        <v>1.25</v>
      </c>
      <c r="G830" s="9">
        <v>16556</v>
      </c>
      <c r="H830" s="1" t="s">
        <v>9</v>
      </c>
      <c r="I830" s="3">
        <f t="shared" si="12"/>
        <v>30</v>
      </c>
    </row>
    <row r="831" spans="1:9" ht="15.75" customHeight="1" x14ac:dyDescent="0.25">
      <c r="A831" s="9">
        <v>503987</v>
      </c>
      <c r="B831" s="2">
        <v>22198</v>
      </c>
      <c r="C831" s="22" t="s">
        <v>866</v>
      </c>
      <c r="D831" s="6">
        <v>48</v>
      </c>
      <c r="E831" s="26">
        <v>40277.428472222222</v>
      </c>
      <c r="F831" s="11">
        <v>1.65</v>
      </c>
      <c r="G831" s="9">
        <v>14961</v>
      </c>
      <c r="H831" s="1" t="s">
        <v>9</v>
      </c>
      <c r="I831" s="3">
        <f t="shared" si="12"/>
        <v>79.199999999999989</v>
      </c>
    </row>
    <row r="832" spans="1:9" ht="15.75" customHeight="1" x14ac:dyDescent="0.25">
      <c r="A832" s="9">
        <v>496609</v>
      </c>
      <c r="B832" s="2" t="s">
        <v>867</v>
      </c>
      <c r="C832" s="22" t="s">
        <v>868</v>
      </c>
      <c r="D832" s="6">
        <v>4</v>
      </c>
      <c r="E832" s="26">
        <v>40211.695833333331</v>
      </c>
      <c r="F832" s="11">
        <v>2.95</v>
      </c>
      <c r="G832" s="9">
        <v>17092</v>
      </c>
      <c r="H832" s="1" t="s">
        <v>9</v>
      </c>
      <c r="I832" s="3">
        <f t="shared" si="12"/>
        <v>11.8</v>
      </c>
    </row>
    <row r="833" spans="1:9" ht="15.75" customHeight="1" x14ac:dyDescent="0.25">
      <c r="A833" s="9">
        <v>523513</v>
      </c>
      <c r="B833" s="2">
        <v>71477</v>
      </c>
      <c r="C833" s="22" t="s">
        <v>84</v>
      </c>
      <c r="D833" s="6">
        <v>6</v>
      </c>
      <c r="E833" s="26">
        <v>40443.526388888888</v>
      </c>
      <c r="F833" s="11">
        <v>2.75</v>
      </c>
      <c r="G833" s="9">
        <v>17850</v>
      </c>
      <c r="H833" s="1" t="s">
        <v>9</v>
      </c>
      <c r="I833" s="3">
        <f t="shared" si="12"/>
        <v>16.5</v>
      </c>
    </row>
    <row r="834" spans="1:9" ht="15.75" customHeight="1" x14ac:dyDescent="0.25">
      <c r="A834" s="9">
        <v>531352</v>
      </c>
      <c r="B834" s="2" t="s">
        <v>869</v>
      </c>
      <c r="C834" s="22" t="s">
        <v>676</v>
      </c>
      <c r="D834" s="6">
        <v>5</v>
      </c>
      <c r="E834" s="26">
        <v>40489.572916666657</v>
      </c>
      <c r="F834" s="11">
        <v>1.65</v>
      </c>
      <c r="G834" s="9">
        <v>13137</v>
      </c>
      <c r="H834" s="1" t="s">
        <v>9</v>
      </c>
      <c r="I834" s="3">
        <f t="shared" ref="I834:I897" si="13">(D834 *F834)</f>
        <v>8.25</v>
      </c>
    </row>
    <row r="835" spans="1:9" ht="15.75" customHeight="1" x14ac:dyDescent="0.25">
      <c r="A835" s="9">
        <v>515595</v>
      </c>
      <c r="B835" s="2">
        <v>84836</v>
      </c>
      <c r="C835" s="22" t="s">
        <v>15</v>
      </c>
      <c r="D835" s="6">
        <v>24</v>
      </c>
      <c r="E835" s="26">
        <v>40372.576388888891</v>
      </c>
      <c r="F835" s="11">
        <v>1.25</v>
      </c>
      <c r="G835" s="9" t="s">
        <v>417</v>
      </c>
      <c r="H835" s="1" t="s">
        <v>9</v>
      </c>
      <c r="I835" s="3">
        <f t="shared" si="13"/>
        <v>30</v>
      </c>
    </row>
    <row r="836" spans="1:9" ht="15.75" customHeight="1" x14ac:dyDescent="0.25">
      <c r="A836" s="9">
        <v>512332</v>
      </c>
      <c r="B836" s="2">
        <v>22491</v>
      </c>
      <c r="C836" s="22" t="s">
        <v>870</v>
      </c>
      <c r="D836" s="6">
        <v>12</v>
      </c>
      <c r="E836" s="26">
        <v>40344.487500000003</v>
      </c>
      <c r="F836" s="11">
        <v>0.85</v>
      </c>
      <c r="G836" s="9">
        <v>15358</v>
      </c>
      <c r="H836" s="1" t="s">
        <v>9</v>
      </c>
      <c r="I836" s="3">
        <f t="shared" si="13"/>
        <v>10.199999999999999</v>
      </c>
    </row>
    <row r="837" spans="1:9" ht="15.75" customHeight="1" x14ac:dyDescent="0.25">
      <c r="A837" s="9">
        <v>536535</v>
      </c>
      <c r="B837" s="2">
        <v>22311</v>
      </c>
      <c r="C837" s="22" t="s">
        <v>871</v>
      </c>
      <c r="D837" s="6">
        <v>6</v>
      </c>
      <c r="E837" s="26">
        <v>40513.568055555559</v>
      </c>
      <c r="F837" s="11">
        <v>2.95</v>
      </c>
      <c r="G837" s="9">
        <v>15605</v>
      </c>
      <c r="H837" s="1" t="s">
        <v>9</v>
      </c>
      <c r="I837" s="3">
        <f t="shared" si="13"/>
        <v>17.700000000000003</v>
      </c>
    </row>
    <row r="838" spans="1:9" ht="15.75" customHeight="1" x14ac:dyDescent="0.25">
      <c r="A838" s="9">
        <v>507289</v>
      </c>
      <c r="B838" s="2">
        <v>21171</v>
      </c>
      <c r="C838" s="22" t="s">
        <v>556</v>
      </c>
      <c r="D838" s="6">
        <v>3</v>
      </c>
      <c r="E838" s="26">
        <v>40305.584722222222</v>
      </c>
      <c r="F838" s="11">
        <v>1.45</v>
      </c>
      <c r="G838" s="9">
        <v>14535</v>
      </c>
      <c r="H838" s="1" t="s">
        <v>9</v>
      </c>
      <c r="I838" s="3">
        <f t="shared" si="13"/>
        <v>4.3499999999999996</v>
      </c>
    </row>
    <row r="839" spans="1:9" ht="15.75" customHeight="1" x14ac:dyDescent="0.25">
      <c r="A839" s="9">
        <v>527407</v>
      </c>
      <c r="B839" s="2">
        <v>22451</v>
      </c>
      <c r="C839" s="22" t="s">
        <v>625</v>
      </c>
      <c r="D839" s="6">
        <v>1</v>
      </c>
      <c r="E839" s="26">
        <v>40468.613888888889</v>
      </c>
      <c r="F839" s="11">
        <v>3.35</v>
      </c>
      <c r="G839" s="9">
        <v>17141</v>
      </c>
      <c r="H839" s="1" t="s">
        <v>9</v>
      </c>
      <c r="I839" s="3">
        <f t="shared" si="13"/>
        <v>3.35</v>
      </c>
    </row>
    <row r="840" spans="1:9" ht="15.75" customHeight="1" x14ac:dyDescent="0.25">
      <c r="A840" s="9">
        <v>505340</v>
      </c>
      <c r="B840" s="2">
        <v>21519</v>
      </c>
      <c r="C840" s="22" t="s">
        <v>435</v>
      </c>
      <c r="D840" s="6">
        <v>12</v>
      </c>
      <c r="E840" s="26">
        <v>40289.555555555547</v>
      </c>
      <c r="F840" s="11">
        <v>0.36</v>
      </c>
      <c r="G840" s="9">
        <v>17448</v>
      </c>
      <c r="H840" s="1" t="s">
        <v>9</v>
      </c>
      <c r="I840" s="3">
        <f t="shared" si="13"/>
        <v>4.32</v>
      </c>
    </row>
    <row r="841" spans="1:9" ht="15.75" customHeight="1" x14ac:dyDescent="0.25">
      <c r="A841" s="9">
        <v>490281</v>
      </c>
      <c r="B841" s="2">
        <v>48185</v>
      </c>
      <c r="C841" s="22" t="s">
        <v>872</v>
      </c>
      <c r="D841" s="6">
        <v>2</v>
      </c>
      <c r="E841" s="26">
        <v>40151.525694444441</v>
      </c>
      <c r="F841" s="11">
        <v>6.75</v>
      </c>
      <c r="G841" s="9">
        <v>13481</v>
      </c>
      <c r="H841" s="1" t="s">
        <v>9</v>
      </c>
      <c r="I841" s="3">
        <f t="shared" si="13"/>
        <v>13.5</v>
      </c>
    </row>
    <row r="842" spans="1:9" ht="15.75" customHeight="1" x14ac:dyDescent="0.25">
      <c r="A842" s="9">
        <v>494866</v>
      </c>
      <c r="B842" s="2">
        <v>22261</v>
      </c>
      <c r="C842" s="22" t="s">
        <v>873</v>
      </c>
      <c r="D842" s="6">
        <v>5</v>
      </c>
      <c r="E842" s="26">
        <v>40197.472222222219</v>
      </c>
      <c r="F842" s="11">
        <v>0.85</v>
      </c>
      <c r="G842" s="9">
        <v>16253</v>
      </c>
      <c r="H842" s="1" t="s">
        <v>9</v>
      </c>
      <c r="I842" s="3">
        <f t="shared" si="13"/>
        <v>4.25</v>
      </c>
    </row>
    <row r="843" spans="1:9" ht="15.75" customHeight="1" x14ac:dyDescent="0.25">
      <c r="A843" s="9">
        <v>495415</v>
      </c>
      <c r="B843" s="2" t="s">
        <v>874</v>
      </c>
      <c r="C843" s="22" t="s">
        <v>875</v>
      </c>
      <c r="D843" s="6">
        <v>6</v>
      </c>
      <c r="E843" s="26">
        <v>40203.480555555558</v>
      </c>
      <c r="F843" s="11">
        <v>2.5499999999999998</v>
      </c>
      <c r="G843" s="9">
        <v>18199</v>
      </c>
      <c r="H843" s="1" t="s">
        <v>9</v>
      </c>
      <c r="I843" s="3">
        <f t="shared" si="13"/>
        <v>15.299999999999999</v>
      </c>
    </row>
    <row r="844" spans="1:9" ht="15.75" customHeight="1" x14ac:dyDescent="0.25">
      <c r="A844" s="9">
        <v>519881</v>
      </c>
      <c r="B844" s="2">
        <v>21932</v>
      </c>
      <c r="C844" s="22" t="s">
        <v>876</v>
      </c>
      <c r="D844" s="6">
        <v>5</v>
      </c>
      <c r="E844" s="26">
        <v>40412.477777777778</v>
      </c>
      <c r="F844" s="11">
        <v>2.95</v>
      </c>
      <c r="G844" s="9">
        <v>16275</v>
      </c>
      <c r="H844" s="1" t="s">
        <v>9</v>
      </c>
      <c r="I844" s="3">
        <f t="shared" si="13"/>
        <v>14.75</v>
      </c>
    </row>
    <row r="845" spans="1:9" ht="15.75" customHeight="1" x14ac:dyDescent="0.25">
      <c r="A845" s="9">
        <v>490542</v>
      </c>
      <c r="B845" s="2" t="s">
        <v>877</v>
      </c>
      <c r="C845" s="22" t="s">
        <v>878</v>
      </c>
      <c r="D845" s="6">
        <v>1</v>
      </c>
      <c r="E845" s="26">
        <v>40154.404166666667</v>
      </c>
      <c r="F845" s="11">
        <v>50</v>
      </c>
      <c r="G845" s="9">
        <v>14911</v>
      </c>
      <c r="H845" s="1" t="s">
        <v>978</v>
      </c>
      <c r="I845" s="3">
        <f t="shared" si="13"/>
        <v>50</v>
      </c>
    </row>
    <row r="846" spans="1:9" ht="15.75" customHeight="1" x14ac:dyDescent="0.25">
      <c r="A846" s="9">
        <v>525030</v>
      </c>
      <c r="B846" s="2">
        <v>22577</v>
      </c>
      <c r="C846" s="22" t="s">
        <v>601</v>
      </c>
      <c r="D846" s="6">
        <v>13</v>
      </c>
      <c r="E846" s="26">
        <v>40454.512499999997</v>
      </c>
      <c r="F846" s="11">
        <v>0.85</v>
      </c>
      <c r="G846" s="9">
        <v>15351</v>
      </c>
      <c r="H846" s="1" t="s">
        <v>9</v>
      </c>
      <c r="I846" s="3">
        <f t="shared" si="13"/>
        <v>11.049999999999999</v>
      </c>
    </row>
    <row r="847" spans="1:9" ht="15.75" customHeight="1" x14ac:dyDescent="0.25">
      <c r="A847" s="9">
        <v>495029</v>
      </c>
      <c r="B847" s="2">
        <v>22293</v>
      </c>
      <c r="C847" s="22" t="s">
        <v>879</v>
      </c>
      <c r="D847" s="6">
        <v>3</v>
      </c>
      <c r="E847" s="26">
        <v>40198.585416666669</v>
      </c>
      <c r="F847" s="11">
        <v>1.45</v>
      </c>
      <c r="G847" s="9">
        <v>16085</v>
      </c>
      <c r="H847" s="1" t="s">
        <v>9</v>
      </c>
      <c r="I847" s="3">
        <f t="shared" si="13"/>
        <v>4.3499999999999996</v>
      </c>
    </row>
    <row r="848" spans="1:9" ht="15.75" customHeight="1" x14ac:dyDescent="0.25">
      <c r="A848" s="9">
        <v>516193</v>
      </c>
      <c r="B848" s="2">
        <v>82551</v>
      </c>
      <c r="C848" s="22" t="s">
        <v>662</v>
      </c>
      <c r="D848" s="6">
        <v>12</v>
      </c>
      <c r="E848" s="26">
        <v>40378.418055555558</v>
      </c>
      <c r="F848" s="11">
        <v>1.25</v>
      </c>
      <c r="G848" s="9">
        <v>12696</v>
      </c>
      <c r="H848" s="1" t="s">
        <v>880</v>
      </c>
      <c r="I848" s="3">
        <f t="shared" si="13"/>
        <v>15</v>
      </c>
    </row>
    <row r="849" spans="1:9" ht="15.75" customHeight="1" x14ac:dyDescent="0.25">
      <c r="A849" s="9">
        <v>520336</v>
      </c>
      <c r="B849" s="2">
        <v>84879</v>
      </c>
      <c r="C849" s="22" t="s">
        <v>143</v>
      </c>
      <c r="D849" s="6">
        <v>8</v>
      </c>
      <c r="E849" s="26">
        <v>40415.527083333327</v>
      </c>
      <c r="F849" s="11">
        <v>1.69</v>
      </c>
      <c r="G849" s="9">
        <v>16019</v>
      </c>
      <c r="H849" s="1" t="s">
        <v>9</v>
      </c>
      <c r="I849" s="3">
        <f t="shared" si="13"/>
        <v>13.52</v>
      </c>
    </row>
    <row r="850" spans="1:9" ht="15.75" customHeight="1" x14ac:dyDescent="0.25">
      <c r="A850" s="9">
        <v>529522</v>
      </c>
      <c r="B850" s="2">
        <v>22178</v>
      </c>
      <c r="C850" s="22" t="s">
        <v>193</v>
      </c>
      <c r="D850" s="6">
        <v>12</v>
      </c>
      <c r="E850" s="26">
        <v>40479.650694444441</v>
      </c>
      <c r="F850" s="11">
        <v>1.25</v>
      </c>
      <c r="G850" s="9">
        <v>14303</v>
      </c>
      <c r="H850" s="1" t="s">
        <v>9</v>
      </c>
      <c r="I850" s="3">
        <f t="shared" si="13"/>
        <v>15</v>
      </c>
    </row>
    <row r="851" spans="1:9" ht="15.75" customHeight="1" x14ac:dyDescent="0.25">
      <c r="A851" s="9" t="s">
        <v>881</v>
      </c>
      <c r="B851" s="2">
        <v>21467</v>
      </c>
      <c r="C851" s="22" t="s">
        <v>882</v>
      </c>
      <c r="D851" s="6">
        <v>1</v>
      </c>
      <c r="E851" s="26">
        <v>40421.644444444442</v>
      </c>
      <c r="F851" s="11">
        <v>3.75</v>
      </c>
      <c r="G851" s="9">
        <v>17346</v>
      </c>
      <c r="H851" s="1" t="s">
        <v>9</v>
      </c>
      <c r="I851" s="3">
        <f t="shared" si="13"/>
        <v>3.75</v>
      </c>
    </row>
    <row r="852" spans="1:9" ht="15.75" customHeight="1" x14ac:dyDescent="0.25">
      <c r="A852" s="9">
        <v>519586</v>
      </c>
      <c r="B852" s="2">
        <v>21733</v>
      </c>
      <c r="C852" s="22" t="s">
        <v>883</v>
      </c>
      <c r="D852" s="6">
        <v>6</v>
      </c>
      <c r="E852" s="26">
        <v>40408.581944444442</v>
      </c>
      <c r="F852" s="11">
        <v>2.95</v>
      </c>
      <c r="G852" s="9">
        <v>15764</v>
      </c>
      <c r="H852" s="1" t="s">
        <v>9</v>
      </c>
      <c r="I852" s="3">
        <f t="shared" si="13"/>
        <v>17.700000000000003</v>
      </c>
    </row>
    <row r="853" spans="1:9" ht="15.75" customHeight="1" x14ac:dyDescent="0.25">
      <c r="A853" s="9">
        <v>530953</v>
      </c>
      <c r="B853" s="2">
        <v>21231</v>
      </c>
      <c r="C853" s="22" t="s">
        <v>493</v>
      </c>
      <c r="D853" s="6">
        <v>4</v>
      </c>
      <c r="E853" s="26">
        <v>40486.779166666667</v>
      </c>
      <c r="F853" s="11">
        <v>1.25</v>
      </c>
      <c r="G853" s="9">
        <v>18168</v>
      </c>
      <c r="H853" s="1" t="s">
        <v>9</v>
      </c>
      <c r="I853" s="3">
        <f t="shared" si="13"/>
        <v>5</v>
      </c>
    </row>
    <row r="854" spans="1:9" ht="15.75" customHeight="1" x14ac:dyDescent="0.25">
      <c r="A854" s="9">
        <v>492839</v>
      </c>
      <c r="B854" s="2">
        <v>82600</v>
      </c>
      <c r="C854" s="22" t="s">
        <v>268</v>
      </c>
      <c r="D854" s="6">
        <v>3</v>
      </c>
      <c r="E854" s="26">
        <v>40168.463888888888</v>
      </c>
      <c r="F854" s="11">
        <v>2.1</v>
      </c>
      <c r="G854" s="9">
        <v>14085</v>
      </c>
      <c r="H854" s="1" t="s">
        <v>9</v>
      </c>
      <c r="I854" s="3">
        <f t="shared" si="13"/>
        <v>6.3000000000000007</v>
      </c>
    </row>
    <row r="855" spans="1:9" ht="15.75" customHeight="1" x14ac:dyDescent="0.25">
      <c r="A855" s="9">
        <v>520484</v>
      </c>
      <c r="B855" s="2">
        <v>20685</v>
      </c>
      <c r="C855" s="22" t="s">
        <v>884</v>
      </c>
      <c r="D855" s="6">
        <v>2</v>
      </c>
      <c r="E855" s="27" t="s">
        <v>885</v>
      </c>
      <c r="F855" s="11">
        <v>7.49</v>
      </c>
      <c r="G855" s="9">
        <v>14930</v>
      </c>
      <c r="H855" s="1" t="s">
        <v>230</v>
      </c>
      <c r="I855" s="3">
        <f t="shared" si="13"/>
        <v>14.98</v>
      </c>
    </row>
    <row r="856" spans="1:9" ht="15.75" customHeight="1" x14ac:dyDescent="0.25">
      <c r="A856" s="9">
        <v>524534</v>
      </c>
      <c r="B856" s="2">
        <v>22816</v>
      </c>
      <c r="C856" s="22" t="s">
        <v>886</v>
      </c>
      <c r="D856" s="6">
        <v>24</v>
      </c>
      <c r="E856" s="26">
        <v>40450.565972222219</v>
      </c>
      <c r="F856" s="11">
        <v>0.42</v>
      </c>
      <c r="G856" s="9">
        <v>14510</v>
      </c>
      <c r="H856" s="1" t="s">
        <v>9</v>
      </c>
      <c r="I856" s="3">
        <f t="shared" si="13"/>
        <v>10.08</v>
      </c>
    </row>
    <row r="857" spans="1:9" ht="15.75" customHeight="1" x14ac:dyDescent="0.25">
      <c r="A857" s="9">
        <v>532821</v>
      </c>
      <c r="B857" s="2">
        <v>20961</v>
      </c>
      <c r="C857" s="22" t="s">
        <v>156</v>
      </c>
      <c r="D857" s="6">
        <v>2</v>
      </c>
      <c r="E857" s="26">
        <v>40496.688888888893</v>
      </c>
      <c r="F857" s="11" t="s">
        <v>42</v>
      </c>
      <c r="G857" s="9">
        <v>14382</v>
      </c>
      <c r="H857" s="1" t="s">
        <v>9</v>
      </c>
      <c r="I857" s="3">
        <f t="shared" si="13"/>
        <v>2.5</v>
      </c>
    </row>
    <row r="858" spans="1:9" ht="15.75" customHeight="1" x14ac:dyDescent="0.25">
      <c r="A858" s="9">
        <v>491800</v>
      </c>
      <c r="B858" s="2">
        <v>21268</v>
      </c>
      <c r="C858" s="22" t="s">
        <v>887</v>
      </c>
      <c r="D858" s="6">
        <v>48</v>
      </c>
      <c r="E858" s="26">
        <v>40161.540277777778</v>
      </c>
      <c r="F858" s="11">
        <v>0.42</v>
      </c>
      <c r="G858" s="9">
        <v>17511</v>
      </c>
      <c r="H858" s="1" t="s">
        <v>9</v>
      </c>
      <c r="I858" s="3">
        <f t="shared" si="13"/>
        <v>20.16</v>
      </c>
    </row>
    <row r="859" spans="1:9" ht="15.75" customHeight="1" x14ac:dyDescent="0.25">
      <c r="A859" s="9">
        <v>532989</v>
      </c>
      <c r="B859" s="2">
        <v>22271</v>
      </c>
      <c r="C859" s="22" t="s">
        <v>888</v>
      </c>
      <c r="D859" s="6">
        <v>1</v>
      </c>
      <c r="E859" s="26">
        <v>40497.589583333327</v>
      </c>
      <c r="F859" s="11">
        <v>2.95</v>
      </c>
      <c r="G859" s="9" t="s">
        <v>889</v>
      </c>
      <c r="H859" s="1" t="s">
        <v>9</v>
      </c>
      <c r="I859" s="3">
        <f t="shared" si="13"/>
        <v>2.95</v>
      </c>
    </row>
    <row r="860" spans="1:9" ht="15.75" customHeight="1" x14ac:dyDescent="0.25">
      <c r="A860" s="9" t="s">
        <v>890</v>
      </c>
      <c r="B860" s="2">
        <v>22109</v>
      </c>
      <c r="C860" s="22" t="s">
        <v>821</v>
      </c>
      <c r="D860" s="6">
        <v>-1</v>
      </c>
      <c r="E860" s="26">
        <v>40253.421527777777</v>
      </c>
      <c r="F860" s="11">
        <v>3.75</v>
      </c>
      <c r="G860" s="9" t="s">
        <v>891</v>
      </c>
      <c r="H860" s="1" t="s">
        <v>9</v>
      </c>
      <c r="I860" s="3">
        <f t="shared" si="13"/>
        <v>-3.75</v>
      </c>
    </row>
    <row r="861" spans="1:9" ht="15.75" customHeight="1" x14ac:dyDescent="0.25">
      <c r="A861" s="9">
        <v>504717</v>
      </c>
      <c r="B861" s="2">
        <v>22605</v>
      </c>
      <c r="C861" s="22" t="s">
        <v>103</v>
      </c>
      <c r="D861" s="6">
        <v>4</v>
      </c>
      <c r="E861" s="26">
        <v>40284.450694444437</v>
      </c>
      <c r="F861" s="11">
        <v>10.95</v>
      </c>
      <c r="G861" s="9">
        <v>16098</v>
      </c>
      <c r="H861" s="1" t="s">
        <v>9</v>
      </c>
      <c r="I861" s="3">
        <f t="shared" si="13"/>
        <v>43.8</v>
      </c>
    </row>
    <row r="862" spans="1:9" ht="15.75" customHeight="1" x14ac:dyDescent="0.25">
      <c r="A862" s="9">
        <v>513964</v>
      </c>
      <c r="B862" s="2" t="s">
        <v>751</v>
      </c>
      <c r="C862" s="22" t="s">
        <v>752</v>
      </c>
      <c r="D862" s="6">
        <v>6</v>
      </c>
      <c r="E862" s="26">
        <v>40358.636805555558</v>
      </c>
      <c r="F862" s="11">
        <v>3.75</v>
      </c>
      <c r="G862" s="9">
        <v>12380</v>
      </c>
      <c r="H862" s="1" t="s">
        <v>82</v>
      </c>
      <c r="I862" s="3">
        <f t="shared" si="13"/>
        <v>22.5</v>
      </c>
    </row>
    <row r="863" spans="1:9" ht="15.75" customHeight="1" x14ac:dyDescent="0.25">
      <c r="A863" s="9">
        <v>510360</v>
      </c>
      <c r="B863" s="2">
        <v>22090</v>
      </c>
      <c r="C863" s="22" t="s">
        <v>538</v>
      </c>
      <c r="D863" s="6">
        <v>1</v>
      </c>
      <c r="E863" s="26">
        <v>40326.674305555563</v>
      </c>
      <c r="F863" s="11">
        <v>2.95</v>
      </c>
      <c r="G863" s="9">
        <v>14104</v>
      </c>
      <c r="H863" s="1" t="s">
        <v>9</v>
      </c>
      <c r="I863" s="3">
        <f t="shared" si="13"/>
        <v>2.95</v>
      </c>
    </row>
    <row r="864" spans="1:9" ht="15.75" customHeight="1" x14ac:dyDescent="0.25">
      <c r="A864" s="9">
        <v>524323</v>
      </c>
      <c r="B864" s="2">
        <v>22726</v>
      </c>
      <c r="C864" s="22" t="s">
        <v>383</v>
      </c>
      <c r="D864" s="6">
        <v>4</v>
      </c>
      <c r="E864" s="26">
        <v>40449.611805555563</v>
      </c>
      <c r="F864" s="11">
        <v>3.75</v>
      </c>
      <c r="G864" s="9">
        <v>12476</v>
      </c>
      <c r="H864" s="1" t="s">
        <v>17</v>
      </c>
      <c r="I864" s="3">
        <f t="shared" si="13"/>
        <v>15</v>
      </c>
    </row>
    <row r="865" spans="1:9" ht="15.75" customHeight="1" x14ac:dyDescent="0.25">
      <c r="A865" s="9">
        <v>521974</v>
      </c>
      <c r="B865" s="2">
        <v>21156</v>
      </c>
      <c r="C865" s="22" t="s">
        <v>23</v>
      </c>
      <c r="D865" s="6">
        <v>2</v>
      </c>
      <c r="E865" s="26">
        <v>40430.830555555563</v>
      </c>
      <c r="F865" s="11">
        <v>1.95</v>
      </c>
      <c r="G865" s="9">
        <v>15861</v>
      </c>
      <c r="H865" s="1" t="s">
        <v>9</v>
      </c>
      <c r="I865" s="3">
        <f t="shared" si="13"/>
        <v>3.9</v>
      </c>
    </row>
    <row r="866" spans="1:9" ht="15.75" customHeight="1" x14ac:dyDescent="0.25">
      <c r="A866" s="9">
        <v>532764</v>
      </c>
      <c r="B866" s="2">
        <v>22576</v>
      </c>
      <c r="C866" s="22" t="s">
        <v>258</v>
      </c>
      <c r="D866" s="6">
        <v>1</v>
      </c>
      <c r="E866" s="26">
        <v>40496.588194444441</v>
      </c>
      <c r="F866" s="11">
        <v>0.85</v>
      </c>
      <c r="G866" s="9">
        <v>14684</v>
      </c>
      <c r="H866" s="1" t="s">
        <v>9</v>
      </c>
      <c r="I866" s="3">
        <f t="shared" si="13"/>
        <v>0.85</v>
      </c>
    </row>
    <row r="867" spans="1:9" ht="15.75" customHeight="1" x14ac:dyDescent="0.25">
      <c r="A867" s="9">
        <v>498696</v>
      </c>
      <c r="B867" s="2" t="s">
        <v>892</v>
      </c>
      <c r="C867" s="22" t="s">
        <v>893</v>
      </c>
      <c r="D867" s="6">
        <v>1</v>
      </c>
      <c r="E867" s="26">
        <v>40231.503472222219</v>
      </c>
      <c r="F867" s="11">
        <v>10.75</v>
      </c>
      <c r="G867" s="9">
        <v>16619</v>
      </c>
      <c r="H867" s="1" t="s">
        <v>9</v>
      </c>
      <c r="I867" s="3">
        <f t="shared" si="13"/>
        <v>10.75</v>
      </c>
    </row>
    <row r="868" spans="1:9" ht="15.75" customHeight="1" x14ac:dyDescent="0.25">
      <c r="A868" s="9">
        <v>501665</v>
      </c>
      <c r="B868" s="2" t="s">
        <v>277</v>
      </c>
      <c r="C868" s="22" t="s">
        <v>894</v>
      </c>
      <c r="D868" s="6">
        <v>10</v>
      </c>
      <c r="E868" s="26">
        <v>40255.593055555553</v>
      </c>
      <c r="F868" s="11">
        <v>1.95</v>
      </c>
      <c r="G868" s="9">
        <v>16108</v>
      </c>
      <c r="H868" s="1" t="s">
        <v>9</v>
      </c>
      <c r="I868" s="3">
        <f t="shared" si="13"/>
        <v>19.5</v>
      </c>
    </row>
    <row r="869" spans="1:9" ht="15.75" customHeight="1" x14ac:dyDescent="0.25">
      <c r="A869" s="9">
        <v>534003</v>
      </c>
      <c r="B869" s="2">
        <v>21587</v>
      </c>
      <c r="C869" s="22" t="s">
        <v>895</v>
      </c>
      <c r="D869" s="6">
        <v>1</v>
      </c>
      <c r="E869" s="26">
        <v>40501.602083333331</v>
      </c>
      <c r="F869" s="11">
        <v>2.5499999999999998</v>
      </c>
      <c r="G869" s="9" t="s">
        <v>896</v>
      </c>
      <c r="H869" s="1" t="s">
        <v>9</v>
      </c>
      <c r="I869" s="3">
        <f t="shared" si="13"/>
        <v>2.5499999999999998</v>
      </c>
    </row>
    <row r="870" spans="1:9" ht="15.75" customHeight="1" x14ac:dyDescent="0.25">
      <c r="A870" s="9">
        <v>530350</v>
      </c>
      <c r="B870" s="2">
        <v>84773</v>
      </c>
      <c r="C870" s="22" t="s">
        <v>823</v>
      </c>
      <c r="D870" s="6">
        <v>2</v>
      </c>
      <c r="E870" s="26">
        <v>40484.658333333333</v>
      </c>
      <c r="F870" s="11">
        <v>2.95</v>
      </c>
      <c r="G870" s="9">
        <v>14506</v>
      </c>
      <c r="H870" s="1" t="s">
        <v>9</v>
      </c>
      <c r="I870" s="3">
        <f t="shared" si="13"/>
        <v>5.9</v>
      </c>
    </row>
    <row r="871" spans="1:9" ht="15.75" customHeight="1" x14ac:dyDescent="0.25">
      <c r="A871" s="9">
        <v>526204</v>
      </c>
      <c r="B871" s="2">
        <v>22750</v>
      </c>
      <c r="C871" s="22" t="s">
        <v>545</v>
      </c>
      <c r="D871" s="6">
        <v>3</v>
      </c>
      <c r="E871" s="26">
        <v>40461.557638888888</v>
      </c>
      <c r="F871" s="11">
        <v>3.75</v>
      </c>
      <c r="G871" s="9">
        <v>14040</v>
      </c>
      <c r="H871" s="1" t="s">
        <v>9</v>
      </c>
      <c r="I871" s="3">
        <f t="shared" si="13"/>
        <v>11.25</v>
      </c>
    </row>
    <row r="872" spans="1:9" ht="15.75" customHeight="1" x14ac:dyDescent="0.25">
      <c r="A872" s="9">
        <v>500338</v>
      </c>
      <c r="B872" s="2">
        <v>21889</v>
      </c>
      <c r="C872" s="22" t="s">
        <v>346</v>
      </c>
      <c r="D872" s="6">
        <v>2</v>
      </c>
      <c r="E872" s="26">
        <v>40244.586805555547</v>
      </c>
      <c r="F872" s="11">
        <v>1.25</v>
      </c>
      <c r="G872" s="9">
        <v>13276</v>
      </c>
      <c r="H872" s="1" t="s">
        <v>9</v>
      </c>
      <c r="I872" s="3">
        <f t="shared" si="13"/>
        <v>2.5</v>
      </c>
    </row>
    <row r="873" spans="1:9" ht="15.75" customHeight="1" x14ac:dyDescent="0.25">
      <c r="A873" s="9">
        <v>511266</v>
      </c>
      <c r="B873" s="2">
        <v>21544</v>
      </c>
      <c r="C873" s="22" t="s">
        <v>897</v>
      </c>
      <c r="D873" s="6">
        <v>2</v>
      </c>
      <c r="E873" s="26">
        <v>40336.535416666673</v>
      </c>
      <c r="F873" s="11">
        <v>0.85</v>
      </c>
      <c r="G873" s="9">
        <v>14534</v>
      </c>
      <c r="H873" s="1" t="s">
        <v>9</v>
      </c>
      <c r="I873" s="3">
        <f t="shared" si="13"/>
        <v>1.7</v>
      </c>
    </row>
    <row r="874" spans="1:9" ht="15.75" customHeight="1" x14ac:dyDescent="0.25">
      <c r="A874" s="9">
        <v>513762</v>
      </c>
      <c r="B874" s="2">
        <v>22558</v>
      </c>
      <c r="C874" s="22" t="s">
        <v>899</v>
      </c>
      <c r="D874" s="6">
        <v>24</v>
      </c>
      <c r="E874" s="26">
        <v>40357.540277777778</v>
      </c>
      <c r="F874" s="11">
        <v>1.25</v>
      </c>
      <c r="G874" s="9">
        <v>12451</v>
      </c>
      <c r="H874" s="1" t="s">
        <v>343</v>
      </c>
      <c r="I874" s="3">
        <f t="shared" si="13"/>
        <v>30</v>
      </c>
    </row>
    <row r="875" spans="1:9" ht="15.75" customHeight="1" x14ac:dyDescent="0.25">
      <c r="A875" s="9">
        <v>522086</v>
      </c>
      <c r="B875" s="2">
        <v>22582</v>
      </c>
      <c r="C875" s="22" t="s">
        <v>382</v>
      </c>
      <c r="D875" s="6">
        <v>6</v>
      </c>
      <c r="E875" s="26">
        <v>40433.5</v>
      </c>
      <c r="F875" s="11">
        <v>2.5499999999999998</v>
      </c>
      <c r="G875" s="9">
        <v>16042</v>
      </c>
      <c r="H875" s="1" t="s">
        <v>9</v>
      </c>
      <c r="I875" s="3">
        <f t="shared" si="13"/>
        <v>15.299999999999999</v>
      </c>
    </row>
    <row r="876" spans="1:9" ht="15.75" customHeight="1" x14ac:dyDescent="0.25">
      <c r="A876" s="9">
        <v>536213</v>
      </c>
      <c r="B876" s="2">
        <v>22469</v>
      </c>
      <c r="C876" s="22" t="s">
        <v>663</v>
      </c>
      <c r="D876" s="6">
        <v>10</v>
      </c>
      <c r="E876" s="26">
        <v>40512.564583333333</v>
      </c>
      <c r="F876" s="11">
        <v>1.65</v>
      </c>
      <c r="G876" s="9">
        <v>18170</v>
      </c>
      <c r="H876" s="1" t="s">
        <v>9</v>
      </c>
      <c r="I876" s="3">
        <f t="shared" si="13"/>
        <v>16.5</v>
      </c>
    </row>
    <row r="877" spans="1:9" ht="15.75" customHeight="1" x14ac:dyDescent="0.25">
      <c r="A877" s="9">
        <v>501320</v>
      </c>
      <c r="B877" s="2">
        <v>22331</v>
      </c>
      <c r="C877" s="22" t="s">
        <v>309</v>
      </c>
      <c r="D877" s="6">
        <v>8</v>
      </c>
      <c r="E877" s="26">
        <v>40253.40902777778</v>
      </c>
      <c r="F877" s="11">
        <v>1.65</v>
      </c>
      <c r="G877" s="9">
        <v>15123</v>
      </c>
      <c r="H877" s="1" t="s">
        <v>9</v>
      </c>
      <c r="I877" s="3">
        <f t="shared" si="13"/>
        <v>13.2</v>
      </c>
    </row>
    <row r="878" spans="1:9" ht="15.75" customHeight="1" x14ac:dyDescent="0.25">
      <c r="A878" s="9">
        <v>496341</v>
      </c>
      <c r="B878" s="2">
        <v>22236</v>
      </c>
      <c r="C878" s="22" t="s">
        <v>80</v>
      </c>
      <c r="D878" s="6">
        <v>2</v>
      </c>
      <c r="E878" s="26">
        <v>40209.657638888893</v>
      </c>
      <c r="F878" s="11">
        <v>12.75</v>
      </c>
      <c r="G878" s="9">
        <v>17107</v>
      </c>
      <c r="H878" s="1" t="s">
        <v>9</v>
      </c>
      <c r="I878" s="3">
        <f t="shared" si="13"/>
        <v>25.5</v>
      </c>
    </row>
    <row r="879" spans="1:9" ht="15.75" customHeight="1" x14ac:dyDescent="0.25">
      <c r="A879" s="9">
        <v>492540</v>
      </c>
      <c r="B879" s="2">
        <v>22124</v>
      </c>
      <c r="C879" s="22" t="s">
        <v>900</v>
      </c>
      <c r="D879" s="6">
        <v>1</v>
      </c>
      <c r="E879" s="26">
        <v>40164.566666666673</v>
      </c>
      <c r="F879" s="11">
        <v>2.95</v>
      </c>
      <c r="G879" s="9">
        <v>15005</v>
      </c>
      <c r="H879" s="1" t="s">
        <v>32</v>
      </c>
      <c r="I879" s="3">
        <f t="shared" si="13"/>
        <v>2.95</v>
      </c>
    </row>
    <row r="880" spans="1:9" ht="15.75" customHeight="1" x14ac:dyDescent="0.25">
      <c r="A880" s="9">
        <v>496338</v>
      </c>
      <c r="B880" s="2">
        <v>85047</v>
      </c>
      <c r="C880" s="22" t="s">
        <v>374</v>
      </c>
      <c r="D880" s="6">
        <v>6</v>
      </c>
      <c r="E880" s="26">
        <v>40209.648611111108</v>
      </c>
      <c r="F880" s="11">
        <v>6.35</v>
      </c>
      <c r="G880" s="9">
        <v>17230</v>
      </c>
      <c r="H880" s="1" t="s">
        <v>9</v>
      </c>
      <c r="I880" s="3">
        <f t="shared" si="13"/>
        <v>38.099999999999994</v>
      </c>
    </row>
    <row r="881" spans="1:9" ht="15.75" customHeight="1" x14ac:dyDescent="0.25">
      <c r="A881" s="9">
        <v>501884</v>
      </c>
      <c r="B881" s="2" t="s">
        <v>901</v>
      </c>
      <c r="C881" s="22" t="s">
        <v>902</v>
      </c>
      <c r="D881" s="6">
        <v>1</v>
      </c>
      <c r="E881" s="26">
        <v>40258.586111111108</v>
      </c>
      <c r="F881" s="11">
        <v>6.95</v>
      </c>
      <c r="G881" s="9">
        <v>17611</v>
      </c>
      <c r="H881" s="1" t="s">
        <v>9</v>
      </c>
      <c r="I881" s="3">
        <f t="shared" si="13"/>
        <v>6.95</v>
      </c>
    </row>
    <row r="882" spans="1:9" ht="15.75" customHeight="1" x14ac:dyDescent="0.25">
      <c r="A882" s="9">
        <v>501168</v>
      </c>
      <c r="B882" s="2">
        <v>21716</v>
      </c>
      <c r="C882" s="22" t="s">
        <v>903</v>
      </c>
      <c r="D882" s="6">
        <v>8</v>
      </c>
      <c r="E882" s="26">
        <v>40252.418749999997</v>
      </c>
      <c r="F882" s="11">
        <v>2.5499999999999998</v>
      </c>
      <c r="G882" s="9">
        <v>13883</v>
      </c>
      <c r="H882" s="1" t="s">
        <v>9</v>
      </c>
      <c r="I882" s="3">
        <f t="shared" si="13"/>
        <v>20.399999999999999</v>
      </c>
    </row>
    <row r="883" spans="1:9" ht="15.75" customHeight="1" x14ac:dyDescent="0.25">
      <c r="A883" s="9">
        <v>499465</v>
      </c>
      <c r="B883" s="2">
        <v>22071</v>
      </c>
      <c r="C883" s="22" t="s">
        <v>904</v>
      </c>
      <c r="D883" s="6">
        <v>3</v>
      </c>
      <c r="E883" s="26">
        <v>40237.481249999997</v>
      </c>
      <c r="F883" s="11">
        <v>3.75</v>
      </c>
      <c r="G883" s="9">
        <v>14807</v>
      </c>
      <c r="H883" s="1" t="s">
        <v>9</v>
      </c>
      <c r="I883" s="3">
        <f t="shared" si="13"/>
        <v>11.25</v>
      </c>
    </row>
    <row r="884" spans="1:9" ht="15.75" customHeight="1" x14ac:dyDescent="0.25">
      <c r="A884" s="9">
        <v>535981</v>
      </c>
      <c r="B884" s="2">
        <v>21259</v>
      </c>
      <c r="C884" s="22" t="s">
        <v>905</v>
      </c>
      <c r="D884" s="6">
        <v>4</v>
      </c>
      <c r="E884" s="26">
        <v>40511.54791666667</v>
      </c>
      <c r="F884" s="11">
        <v>5.95</v>
      </c>
      <c r="G884" s="9">
        <v>18109</v>
      </c>
      <c r="H884" s="1" t="s">
        <v>9</v>
      </c>
      <c r="I884" s="3">
        <f t="shared" si="13"/>
        <v>23.8</v>
      </c>
    </row>
    <row r="885" spans="1:9" ht="15.75" customHeight="1" x14ac:dyDescent="0.25">
      <c r="A885" s="9">
        <v>526207</v>
      </c>
      <c r="B885" s="2">
        <v>21351</v>
      </c>
      <c r="C885" s="22" t="s">
        <v>478</v>
      </c>
      <c r="D885" s="6">
        <v>16</v>
      </c>
      <c r="E885" s="26">
        <v>40461.563194444447</v>
      </c>
      <c r="F885" s="11">
        <v>1.95</v>
      </c>
      <c r="G885" s="9">
        <v>15547</v>
      </c>
      <c r="H885" s="1" t="s">
        <v>9</v>
      </c>
      <c r="I885" s="3">
        <f t="shared" si="13"/>
        <v>31.2</v>
      </c>
    </row>
    <row r="886" spans="1:9" ht="15.75" customHeight="1" x14ac:dyDescent="0.25">
      <c r="A886" s="9">
        <v>525013</v>
      </c>
      <c r="B886" s="2">
        <v>22577</v>
      </c>
      <c r="C886" s="22" t="s">
        <v>601</v>
      </c>
      <c r="D886" s="6">
        <v>12</v>
      </c>
      <c r="E886" s="26">
        <v>40454.46875</v>
      </c>
      <c r="F886" s="11">
        <v>0.85</v>
      </c>
      <c r="G886" s="9">
        <v>14911</v>
      </c>
      <c r="H886" s="1" t="s">
        <v>978</v>
      </c>
      <c r="I886" s="3">
        <f t="shared" si="13"/>
        <v>10.199999999999999</v>
      </c>
    </row>
    <row r="887" spans="1:9" ht="15.75" customHeight="1" x14ac:dyDescent="0.25">
      <c r="A887" s="9">
        <v>516157</v>
      </c>
      <c r="B887" s="2">
        <v>22382</v>
      </c>
      <c r="C887" s="22" t="s">
        <v>906</v>
      </c>
      <c r="D887" s="6">
        <v>2</v>
      </c>
      <c r="E887" s="26">
        <v>40377.492361111108</v>
      </c>
      <c r="F887" s="11">
        <v>1.65</v>
      </c>
      <c r="G887" s="9">
        <v>17261</v>
      </c>
      <c r="H887" s="1" t="s">
        <v>9</v>
      </c>
      <c r="I887" s="3">
        <f t="shared" si="13"/>
        <v>3.3</v>
      </c>
    </row>
    <row r="888" spans="1:9" ht="15.75" customHeight="1" x14ac:dyDescent="0.25">
      <c r="A888" s="9">
        <v>537393</v>
      </c>
      <c r="B888" s="2">
        <v>21485</v>
      </c>
      <c r="C888" s="22" t="s">
        <v>907</v>
      </c>
      <c r="D888" s="6">
        <v>48</v>
      </c>
      <c r="E888" s="26">
        <v>40518.582638888889</v>
      </c>
      <c r="F888" s="11">
        <v>4.25</v>
      </c>
      <c r="G888" s="9">
        <v>13089</v>
      </c>
      <c r="H888" s="1" t="s">
        <v>9</v>
      </c>
      <c r="I888" s="3">
        <f t="shared" si="13"/>
        <v>204</v>
      </c>
    </row>
    <row r="889" spans="1:9" ht="15.75" customHeight="1" x14ac:dyDescent="0.25">
      <c r="A889" s="9">
        <v>513426</v>
      </c>
      <c r="B889" s="2">
        <v>21203</v>
      </c>
      <c r="C889" s="22" t="s">
        <v>908</v>
      </c>
      <c r="D889" s="6">
        <v>6</v>
      </c>
      <c r="E889" s="26">
        <v>40353.542361111111</v>
      </c>
      <c r="F889" s="11">
        <v>1.65</v>
      </c>
      <c r="G889" s="9">
        <v>17142</v>
      </c>
      <c r="H889" s="1" t="s">
        <v>9</v>
      </c>
      <c r="I889" s="3">
        <f t="shared" si="13"/>
        <v>9.8999999999999986</v>
      </c>
    </row>
    <row r="890" spans="1:9" ht="15.75" customHeight="1" x14ac:dyDescent="0.25">
      <c r="A890" s="9">
        <v>495072</v>
      </c>
      <c r="B890" s="2">
        <v>22195</v>
      </c>
      <c r="C890" s="22" t="s">
        <v>909</v>
      </c>
      <c r="D890" s="6">
        <v>12</v>
      </c>
      <c r="E890" s="26">
        <v>40199.348611111112</v>
      </c>
      <c r="F890" s="11">
        <v>1.65</v>
      </c>
      <c r="G890" s="9">
        <v>14215</v>
      </c>
      <c r="H890" s="1" t="s">
        <v>9</v>
      </c>
      <c r="I890" s="3">
        <f t="shared" si="13"/>
        <v>19.799999999999997</v>
      </c>
    </row>
    <row r="891" spans="1:9" ht="15.75" customHeight="1" x14ac:dyDescent="0.25">
      <c r="A891" s="9">
        <v>528438</v>
      </c>
      <c r="B891" s="2">
        <v>22363</v>
      </c>
      <c r="C891" s="22" t="s">
        <v>910</v>
      </c>
      <c r="D891" s="6">
        <v>6</v>
      </c>
      <c r="E891" s="26">
        <v>40473.444444444453</v>
      </c>
      <c r="F891" s="11">
        <v>2.95</v>
      </c>
      <c r="G891" s="9">
        <v>12419</v>
      </c>
      <c r="H891" s="1" t="s">
        <v>568</v>
      </c>
      <c r="I891" s="3">
        <f t="shared" si="13"/>
        <v>17.700000000000003</v>
      </c>
    </row>
    <row r="892" spans="1:9" ht="15.75" customHeight="1" x14ac:dyDescent="0.25">
      <c r="A892" s="9">
        <v>491186</v>
      </c>
      <c r="B892" s="2">
        <v>21491</v>
      </c>
      <c r="C892" s="22" t="s">
        <v>911</v>
      </c>
      <c r="D892" s="6">
        <v>2</v>
      </c>
      <c r="E892" s="26">
        <v>40157.51458333333</v>
      </c>
      <c r="F892" s="11">
        <v>1.95</v>
      </c>
      <c r="G892" s="9">
        <v>15889</v>
      </c>
      <c r="H892" s="1" t="s">
        <v>9</v>
      </c>
      <c r="I892" s="3">
        <f t="shared" si="13"/>
        <v>3.9</v>
      </c>
    </row>
    <row r="893" spans="1:9" ht="15.75" customHeight="1" x14ac:dyDescent="0.25">
      <c r="A893" s="9">
        <v>496340</v>
      </c>
      <c r="B893" s="2">
        <v>21426</v>
      </c>
      <c r="C893" s="22" t="s">
        <v>137</v>
      </c>
      <c r="D893" s="6">
        <v>6</v>
      </c>
      <c r="E893" s="26">
        <v>40209.65625</v>
      </c>
      <c r="F893" s="11">
        <v>2.1</v>
      </c>
      <c r="G893" s="9">
        <v>12668</v>
      </c>
      <c r="H893" s="1" t="s">
        <v>17</v>
      </c>
      <c r="I893" s="3">
        <f t="shared" si="13"/>
        <v>12.600000000000001</v>
      </c>
    </row>
    <row r="894" spans="1:9" ht="15.75" customHeight="1" x14ac:dyDescent="0.25">
      <c r="A894" s="9">
        <v>533968</v>
      </c>
      <c r="B894" s="2">
        <v>84580</v>
      </c>
      <c r="C894" s="22" t="s">
        <v>127</v>
      </c>
      <c r="D894" s="6">
        <v>1</v>
      </c>
      <c r="E894" s="26">
        <v>40501.551388888889</v>
      </c>
      <c r="F894" s="11">
        <v>3.75</v>
      </c>
      <c r="G894" s="9">
        <v>13884</v>
      </c>
      <c r="H894" s="1" t="s">
        <v>9</v>
      </c>
      <c r="I894" s="3">
        <f t="shared" si="13"/>
        <v>3.75</v>
      </c>
    </row>
    <row r="895" spans="1:9" ht="15.75" customHeight="1" x14ac:dyDescent="0.25">
      <c r="A895" s="9">
        <v>506114</v>
      </c>
      <c r="B895" s="2">
        <v>82583</v>
      </c>
      <c r="C895" s="22" t="s">
        <v>913</v>
      </c>
      <c r="D895" s="6">
        <v>12</v>
      </c>
      <c r="E895" s="26">
        <v>40295.574999999997</v>
      </c>
      <c r="F895" s="11">
        <v>2.1</v>
      </c>
      <c r="G895" s="9">
        <v>13001</v>
      </c>
      <c r="H895" s="1" t="s">
        <v>9</v>
      </c>
      <c r="I895" s="3">
        <f t="shared" si="13"/>
        <v>25.200000000000003</v>
      </c>
    </row>
    <row r="896" spans="1:9" ht="15.75" customHeight="1" x14ac:dyDescent="0.25">
      <c r="A896" s="9">
        <v>531945</v>
      </c>
      <c r="B896" s="2" t="s">
        <v>153</v>
      </c>
      <c r="C896" s="22" t="s">
        <v>154</v>
      </c>
      <c r="D896" s="6">
        <v>12</v>
      </c>
      <c r="E896" s="26">
        <v>40492.511111111111</v>
      </c>
      <c r="F896" s="11">
        <v>2.95</v>
      </c>
      <c r="G896" s="9">
        <v>12997</v>
      </c>
      <c r="H896" s="1" t="s">
        <v>9</v>
      </c>
      <c r="I896" s="3">
        <f t="shared" si="13"/>
        <v>35.400000000000006</v>
      </c>
    </row>
    <row r="897" spans="1:9" ht="15.75" customHeight="1" x14ac:dyDescent="0.25">
      <c r="A897" s="9">
        <v>521822</v>
      </c>
      <c r="B897" s="2" t="s">
        <v>53</v>
      </c>
      <c r="C897" s="22" t="s">
        <v>54</v>
      </c>
      <c r="D897" s="6">
        <v>9</v>
      </c>
      <c r="E897" s="26">
        <v>40430.442361111112</v>
      </c>
      <c r="F897" s="11">
        <v>5.95</v>
      </c>
      <c r="G897" s="9">
        <v>12714</v>
      </c>
      <c r="H897" s="1" t="s">
        <v>28</v>
      </c>
      <c r="I897" s="3">
        <f t="shared" si="13"/>
        <v>53.550000000000004</v>
      </c>
    </row>
    <row r="898" spans="1:9" ht="15.75" customHeight="1" x14ac:dyDescent="0.25">
      <c r="A898" s="9">
        <v>509100</v>
      </c>
      <c r="B898" s="2">
        <v>20978</v>
      </c>
      <c r="C898" s="22" t="s">
        <v>914</v>
      </c>
      <c r="D898" s="6">
        <v>1</v>
      </c>
      <c r="E898" s="26">
        <v>40318.492361111108</v>
      </c>
      <c r="F898" s="11">
        <v>1.25</v>
      </c>
      <c r="G898" s="9">
        <v>17841</v>
      </c>
      <c r="H898" s="1" t="s">
        <v>9</v>
      </c>
      <c r="I898" s="3">
        <f t="shared" ref="I898:I961" si="14">(D898 *F898)</f>
        <v>1.25</v>
      </c>
    </row>
    <row r="899" spans="1:9" ht="15.75" customHeight="1" x14ac:dyDescent="0.25">
      <c r="A899" s="9">
        <v>493812</v>
      </c>
      <c r="B899" s="2" t="s">
        <v>915</v>
      </c>
      <c r="C899" s="22" t="s">
        <v>916</v>
      </c>
      <c r="D899" s="6">
        <v>24</v>
      </c>
      <c r="E899" s="26">
        <v>40185.494444444441</v>
      </c>
      <c r="F899" s="11">
        <v>0.42</v>
      </c>
      <c r="G899" s="9">
        <v>13081</v>
      </c>
      <c r="H899" s="1" t="s">
        <v>9</v>
      </c>
      <c r="I899" s="3">
        <f t="shared" si="14"/>
        <v>10.08</v>
      </c>
    </row>
    <row r="900" spans="1:9" ht="15.75" customHeight="1" x14ac:dyDescent="0.25">
      <c r="A900" s="9">
        <v>511772</v>
      </c>
      <c r="B900" s="2">
        <v>21670</v>
      </c>
      <c r="C900" s="22" t="s">
        <v>631</v>
      </c>
      <c r="D900" s="6">
        <v>12</v>
      </c>
      <c r="E900" s="26">
        <v>40339.509722222218</v>
      </c>
      <c r="F900" s="11">
        <v>1.25</v>
      </c>
      <c r="G900" s="9">
        <v>17491</v>
      </c>
      <c r="H900" s="1" t="s">
        <v>9</v>
      </c>
      <c r="I900" s="3">
        <f t="shared" si="14"/>
        <v>15</v>
      </c>
    </row>
    <row r="901" spans="1:9" ht="15.75" customHeight="1" x14ac:dyDescent="0.25">
      <c r="A901" s="9">
        <v>505380</v>
      </c>
      <c r="B901" s="2">
        <v>85042</v>
      </c>
      <c r="C901" s="22" t="s">
        <v>661</v>
      </c>
      <c r="D901" s="6">
        <v>8</v>
      </c>
      <c r="E901" s="26">
        <v>40290.35833333333</v>
      </c>
      <c r="F901" s="11">
        <v>4.95</v>
      </c>
      <c r="G901" s="9">
        <v>17675</v>
      </c>
      <c r="H901" s="1" t="s">
        <v>9</v>
      </c>
      <c r="I901" s="3">
        <f t="shared" si="14"/>
        <v>39.6</v>
      </c>
    </row>
    <row r="902" spans="1:9" ht="15.75" customHeight="1" x14ac:dyDescent="0.25">
      <c r="A902" s="9">
        <v>511174</v>
      </c>
      <c r="B902" s="2">
        <v>22078</v>
      </c>
      <c r="C902" s="22" t="s">
        <v>917</v>
      </c>
      <c r="D902" s="6" t="s">
        <v>59</v>
      </c>
      <c r="E902" s="26">
        <v>40336.505555555559</v>
      </c>
      <c r="F902" s="11">
        <v>2.1</v>
      </c>
      <c r="G902" s="9">
        <v>15249</v>
      </c>
      <c r="H902" s="1" t="s">
        <v>9</v>
      </c>
      <c r="I902" s="3">
        <f t="shared" si="14"/>
        <v>21</v>
      </c>
    </row>
    <row r="903" spans="1:9" ht="15.75" customHeight="1" x14ac:dyDescent="0.25">
      <c r="A903" s="9">
        <v>506246</v>
      </c>
      <c r="B903" s="2">
        <v>22090</v>
      </c>
      <c r="C903" s="22" t="s">
        <v>538</v>
      </c>
      <c r="D903" s="6">
        <v>6</v>
      </c>
      <c r="E903" s="26">
        <v>40296.557638888888</v>
      </c>
      <c r="F903" s="11">
        <v>2.95</v>
      </c>
      <c r="G903" s="9">
        <v>14194</v>
      </c>
      <c r="H903" s="1" t="s">
        <v>9</v>
      </c>
      <c r="I903" s="3">
        <f t="shared" si="14"/>
        <v>17.700000000000003</v>
      </c>
    </row>
    <row r="904" spans="1:9" ht="15.75" customHeight="1" x14ac:dyDescent="0.25">
      <c r="A904" s="9">
        <v>508996</v>
      </c>
      <c r="B904" s="2">
        <v>21363</v>
      </c>
      <c r="C904" s="22" t="s">
        <v>918</v>
      </c>
      <c r="D904" s="6">
        <v>6</v>
      </c>
      <c r="E904" s="26">
        <v>40317.536111111112</v>
      </c>
      <c r="F904" s="11">
        <v>4.95</v>
      </c>
      <c r="G904" s="9">
        <v>13982</v>
      </c>
      <c r="H904" s="1" t="s">
        <v>9</v>
      </c>
      <c r="I904" s="3">
        <f t="shared" si="14"/>
        <v>29.700000000000003</v>
      </c>
    </row>
    <row r="905" spans="1:9" ht="15.75" customHeight="1" x14ac:dyDescent="0.25">
      <c r="A905" s="9">
        <v>491178</v>
      </c>
      <c r="B905" s="2">
        <v>85152</v>
      </c>
      <c r="C905" s="22" t="s">
        <v>919</v>
      </c>
      <c r="D905" s="6">
        <v>5</v>
      </c>
      <c r="E905" s="26">
        <v>40157.496527777781</v>
      </c>
      <c r="F905" s="11">
        <v>2.1</v>
      </c>
      <c r="G905" s="9">
        <v>14099</v>
      </c>
      <c r="H905" s="1" t="s">
        <v>9</v>
      </c>
      <c r="I905" s="3">
        <f t="shared" si="14"/>
        <v>10.5</v>
      </c>
    </row>
    <row r="906" spans="1:9" ht="15.75" customHeight="1" x14ac:dyDescent="0.25">
      <c r="A906" s="9">
        <v>502608</v>
      </c>
      <c r="B906" s="2">
        <v>47566</v>
      </c>
      <c r="C906" s="22" t="s">
        <v>55</v>
      </c>
      <c r="D906" s="6">
        <v>15</v>
      </c>
      <c r="E906" s="26">
        <v>40262.578472222223</v>
      </c>
      <c r="F906" s="11">
        <v>4.6500000000000004</v>
      </c>
      <c r="G906" s="9">
        <v>13001</v>
      </c>
      <c r="H906" s="1" t="s">
        <v>9</v>
      </c>
      <c r="I906" s="3">
        <f t="shared" si="14"/>
        <v>69.75</v>
      </c>
    </row>
    <row r="907" spans="1:9" ht="15.75" customHeight="1" x14ac:dyDescent="0.25">
      <c r="A907" s="9">
        <v>513625</v>
      </c>
      <c r="B907" s="2">
        <v>84755</v>
      </c>
      <c r="C907" s="22" t="s">
        <v>921</v>
      </c>
      <c r="D907" s="6">
        <v>12</v>
      </c>
      <c r="E907" s="26">
        <v>40356.54791666667</v>
      </c>
      <c r="F907" s="11">
        <v>0.65</v>
      </c>
      <c r="G907" s="9">
        <v>14505</v>
      </c>
      <c r="H907" s="1" t="s">
        <v>9</v>
      </c>
      <c r="I907" s="3">
        <f t="shared" si="14"/>
        <v>7.8000000000000007</v>
      </c>
    </row>
    <row r="908" spans="1:9" ht="15.75" customHeight="1" x14ac:dyDescent="0.25">
      <c r="A908" s="9">
        <v>518224</v>
      </c>
      <c r="B908" s="2">
        <v>21746</v>
      </c>
      <c r="C908" s="22" t="s">
        <v>922</v>
      </c>
      <c r="D908" s="6">
        <v>24</v>
      </c>
      <c r="E908" s="26">
        <v>40395.59097222222</v>
      </c>
      <c r="F908" s="11">
        <v>1.25</v>
      </c>
      <c r="G908" s="9">
        <v>15400</v>
      </c>
      <c r="H908" s="1" t="s">
        <v>9</v>
      </c>
      <c r="I908" s="3">
        <f t="shared" si="14"/>
        <v>30</v>
      </c>
    </row>
    <row r="909" spans="1:9" ht="15.75" customHeight="1" x14ac:dyDescent="0.25">
      <c r="A909" s="9">
        <v>516944</v>
      </c>
      <c r="B909" s="2">
        <v>22089</v>
      </c>
      <c r="C909" s="22" t="s">
        <v>923</v>
      </c>
      <c r="D909" s="6">
        <v>6</v>
      </c>
      <c r="E909" s="26">
        <v>40384.622916666667</v>
      </c>
      <c r="F909" s="11">
        <v>2.95</v>
      </c>
      <c r="G909" s="9">
        <v>15260</v>
      </c>
      <c r="H909" s="1" t="s">
        <v>9</v>
      </c>
      <c r="I909" s="3">
        <f t="shared" si="14"/>
        <v>17.700000000000003</v>
      </c>
    </row>
    <row r="910" spans="1:9" ht="15.75" customHeight="1" x14ac:dyDescent="0.25">
      <c r="A910" s="9">
        <v>528757</v>
      </c>
      <c r="B910" s="2">
        <v>82551</v>
      </c>
      <c r="C910" s="22" t="s">
        <v>662</v>
      </c>
      <c r="D910" s="6">
        <v>12</v>
      </c>
      <c r="E910" s="26">
        <v>40475.644444444442</v>
      </c>
      <c r="F910" s="11">
        <v>1.45</v>
      </c>
      <c r="G910" s="9">
        <v>12720</v>
      </c>
      <c r="H910" s="1" t="s">
        <v>17</v>
      </c>
      <c r="I910" s="3">
        <f t="shared" si="14"/>
        <v>17.399999999999999</v>
      </c>
    </row>
    <row r="911" spans="1:9" ht="15.75" customHeight="1" x14ac:dyDescent="0.25">
      <c r="A911" s="9">
        <v>533959</v>
      </c>
      <c r="B911" s="2">
        <v>20966</v>
      </c>
      <c r="C911" s="22" t="s">
        <v>329</v>
      </c>
      <c r="D911" s="6">
        <v>10</v>
      </c>
      <c r="E911" s="26">
        <v>40501.538888888892</v>
      </c>
      <c r="F911" s="11">
        <v>1.25</v>
      </c>
      <c r="G911" s="9">
        <v>12921</v>
      </c>
      <c r="H911" s="1" t="s">
        <v>9</v>
      </c>
      <c r="I911" s="3">
        <f t="shared" si="14"/>
        <v>12.5</v>
      </c>
    </row>
    <row r="912" spans="1:9" ht="15.75" customHeight="1" x14ac:dyDescent="0.25">
      <c r="A912" s="9">
        <v>510416</v>
      </c>
      <c r="B912" s="2" t="s">
        <v>924</v>
      </c>
      <c r="C912" s="22" t="s">
        <v>925</v>
      </c>
      <c r="D912" s="6">
        <v>4</v>
      </c>
      <c r="E912" s="26">
        <v>40328.472916666673</v>
      </c>
      <c r="F912" s="11">
        <v>4.6500000000000004</v>
      </c>
      <c r="G912" s="9">
        <v>13113</v>
      </c>
      <c r="H912" s="1" t="s">
        <v>9</v>
      </c>
      <c r="I912" s="3">
        <f t="shared" si="14"/>
        <v>18.600000000000001</v>
      </c>
    </row>
    <row r="913" spans="1:9" ht="15.75" customHeight="1" x14ac:dyDescent="0.25">
      <c r="A913" s="9">
        <v>510450</v>
      </c>
      <c r="B913" s="2">
        <v>22565</v>
      </c>
      <c r="C913" s="22" t="s">
        <v>926</v>
      </c>
      <c r="D913" s="6">
        <v>12</v>
      </c>
      <c r="E913" s="26">
        <v>40330.404166666667</v>
      </c>
      <c r="F913" s="11">
        <v>0.85</v>
      </c>
      <c r="G913" s="9">
        <v>14857</v>
      </c>
      <c r="H913" s="1" t="s">
        <v>9</v>
      </c>
      <c r="I913" s="3">
        <f t="shared" si="14"/>
        <v>10.199999999999999</v>
      </c>
    </row>
    <row r="914" spans="1:9" ht="15.75" customHeight="1" x14ac:dyDescent="0.25">
      <c r="A914" s="9">
        <v>520196</v>
      </c>
      <c r="B914" s="2">
        <v>21481</v>
      </c>
      <c r="C914" s="22" t="s">
        <v>927</v>
      </c>
      <c r="D914" s="6">
        <v>4</v>
      </c>
      <c r="E914" s="26">
        <v>40414.624305555553</v>
      </c>
      <c r="F914" s="11">
        <v>2.95</v>
      </c>
      <c r="G914" s="9">
        <v>16161</v>
      </c>
      <c r="H914" s="1" t="s">
        <v>9</v>
      </c>
      <c r="I914" s="3">
        <f t="shared" si="14"/>
        <v>11.8</v>
      </c>
    </row>
    <row r="915" spans="1:9" ht="15.75" customHeight="1" x14ac:dyDescent="0.25">
      <c r="A915" s="9">
        <v>492296</v>
      </c>
      <c r="B915" s="2">
        <v>84950</v>
      </c>
      <c r="C915" s="22" t="s">
        <v>413</v>
      </c>
      <c r="D915" s="6">
        <v>12</v>
      </c>
      <c r="E915" s="26">
        <v>40163.495138888888</v>
      </c>
      <c r="F915" s="11">
        <v>0.85</v>
      </c>
      <c r="G915" s="9">
        <v>14667</v>
      </c>
      <c r="H915" s="1" t="s">
        <v>9</v>
      </c>
      <c r="I915" s="3">
        <f t="shared" si="14"/>
        <v>10.199999999999999</v>
      </c>
    </row>
    <row r="916" spans="1:9" ht="15.75" customHeight="1" x14ac:dyDescent="0.25">
      <c r="A916" s="9">
        <v>524944</v>
      </c>
      <c r="B916" s="2">
        <v>21134</v>
      </c>
      <c r="C916" s="22" t="s">
        <v>928</v>
      </c>
      <c r="D916" s="6">
        <v>2</v>
      </c>
      <c r="E916" s="27" t="s">
        <v>929</v>
      </c>
      <c r="F916" s="11">
        <v>1.65</v>
      </c>
      <c r="G916" s="9">
        <v>15276</v>
      </c>
      <c r="H916" s="1" t="s">
        <v>9</v>
      </c>
      <c r="I916" s="3">
        <f t="shared" si="14"/>
        <v>3.3</v>
      </c>
    </row>
    <row r="917" spans="1:9" ht="15.75" customHeight="1" x14ac:dyDescent="0.25">
      <c r="A917" s="9">
        <v>501444</v>
      </c>
      <c r="B917" s="2">
        <v>22617</v>
      </c>
      <c r="C917" s="22" t="s">
        <v>174</v>
      </c>
      <c r="D917" s="6">
        <v>3</v>
      </c>
      <c r="E917" s="26">
        <v>40253.588888888888</v>
      </c>
      <c r="F917" s="11">
        <v>4.95</v>
      </c>
      <c r="G917" s="9">
        <v>17716</v>
      </c>
      <c r="H917" s="1" t="s">
        <v>9</v>
      </c>
      <c r="I917" s="3">
        <f t="shared" si="14"/>
        <v>14.850000000000001</v>
      </c>
    </row>
    <row r="918" spans="1:9" ht="15.75" customHeight="1" x14ac:dyDescent="0.25">
      <c r="A918" s="9">
        <v>502272</v>
      </c>
      <c r="B918" s="2">
        <v>21166</v>
      </c>
      <c r="C918" s="22" t="s">
        <v>930</v>
      </c>
      <c r="D918" s="6">
        <v>1</v>
      </c>
      <c r="E918" s="26">
        <v>40260.657638888893</v>
      </c>
      <c r="F918" s="11">
        <v>1.95</v>
      </c>
      <c r="G918" s="9">
        <v>14344</v>
      </c>
      <c r="H918" s="1" t="s">
        <v>9</v>
      </c>
      <c r="I918" s="3">
        <f t="shared" si="14"/>
        <v>1.95</v>
      </c>
    </row>
    <row r="919" spans="1:9" ht="15.75" customHeight="1" x14ac:dyDescent="0.25">
      <c r="A919" s="9">
        <v>503255</v>
      </c>
      <c r="B919" s="2">
        <v>48194</v>
      </c>
      <c r="C919" s="22" t="s">
        <v>931</v>
      </c>
      <c r="D919" s="6">
        <v>2</v>
      </c>
      <c r="E919" s="26">
        <v>40268.450694444437</v>
      </c>
      <c r="F919" s="11">
        <v>7.49</v>
      </c>
      <c r="G919" s="9">
        <v>13709</v>
      </c>
      <c r="H919" s="1" t="s">
        <v>9</v>
      </c>
      <c r="I919" s="3">
        <f t="shared" si="14"/>
        <v>14.98</v>
      </c>
    </row>
    <row r="920" spans="1:9" ht="15.75" customHeight="1" x14ac:dyDescent="0.25">
      <c r="A920" s="9">
        <v>489532</v>
      </c>
      <c r="B920" s="2">
        <v>84990</v>
      </c>
      <c r="C920" s="22" t="s">
        <v>932</v>
      </c>
      <c r="D920" s="6">
        <v>24</v>
      </c>
      <c r="E920" s="26">
        <v>40148.498611111107</v>
      </c>
      <c r="F920" s="11">
        <v>0.55000000000000004</v>
      </c>
      <c r="G920" s="9">
        <v>13394</v>
      </c>
      <c r="H920" s="1" t="s">
        <v>9</v>
      </c>
      <c r="I920" s="3">
        <f t="shared" si="14"/>
        <v>13.200000000000001</v>
      </c>
    </row>
    <row r="921" spans="1:9" ht="15.75" customHeight="1" x14ac:dyDescent="0.25">
      <c r="A921" s="9">
        <v>536063</v>
      </c>
      <c r="B921" s="2">
        <v>22114</v>
      </c>
      <c r="C921" s="22" t="s">
        <v>933</v>
      </c>
      <c r="D921" s="6">
        <v>4</v>
      </c>
      <c r="E921" s="26">
        <v>40512.444444444453</v>
      </c>
      <c r="F921" s="11">
        <v>3.95</v>
      </c>
      <c r="G921" s="9">
        <v>15796</v>
      </c>
      <c r="H921" s="1" t="s">
        <v>9</v>
      </c>
      <c r="I921" s="3">
        <f t="shared" si="14"/>
        <v>15.8</v>
      </c>
    </row>
    <row r="922" spans="1:9" ht="15.75" customHeight="1" x14ac:dyDescent="0.25">
      <c r="A922" s="9">
        <v>518947</v>
      </c>
      <c r="B922" s="2">
        <v>22627</v>
      </c>
      <c r="C922" s="22" t="s">
        <v>934</v>
      </c>
      <c r="D922" s="6">
        <v>2</v>
      </c>
      <c r="E922" s="26">
        <v>40402.625</v>
      </c>
      <c r="F922" s="11">
        <v>8.5</v>
      </c>
      <c r="G922" s="9">
        <v>15365</v>
      </c>
      <c r="H922" s="1" t="s">
        <v>9</v>
      </c>
      <c r="I922" s="3">
        <f t="shared" si="14"/>
        <v>17</v>
      </c>
    </row>
    <row r="923" spans="1:9" ht="15.75" customHeight="1" x14ac:dyDescent="0.25">
      <c r="A923" s="9">
        <v>533838</v>
      </c>
      <c r="B923" s="2">
        <v>22847</v>
      </c>
      <c r="C923" s="22" t="s">
        <v>507</v>
      </c>
      <c r="D923" s="6">
        <v>1</v>
      </c>
      <c r="E923" s="26">
        <v>40501.456250000003</v>
      </c>
      <c r="F923" s="11">
        <v>16.95</v>
      </c>
      <c r="G923" s="9">
        <v>13662</v>
      </c>
      <c r="H923" s="1" t="s">
        <v>9</v>
      </c>
      <c r="I923" s="3">
        <f t="shared" si="14"/>
        <v>16.95</v>
      </c>
    </row>
    <row r="924" spans="1:9" ht="15.75" customHeight="1" x14ac:dyDescent="0.25">
      <c r="A924" s="9">
        <v>507837</v>
      </c>
      <c r="B924" s="2">
        <v>21259</v>
      </c>
      <c r="C924" s="22" t="s">
        <v>905</v>
      </c>
      <c r="D924" s="6">
        <v>2</v>
      </c>
      <c r="E924" s="26">
        <v>40309.561805555553</v>
      </c>
      <c r="F924" s="11">
        <v>5.95</v>
      </c>
      <c r="G924" s="9">
        <v>15358</v>
      </c>
      <c r="H924" s="1" t="s">
        <v>9</v>
      </c>
      <c r="I924" s="3">
        <f t="shared" si="14"/>
        <v>11.9</v>
      </c>
    </row>
    <row r="925" spans="1:9" ht="15.75" customHeight="1" x14ac:dyDescent="0.25">
      <c r="A925" s="9">
        <v>496335</v>
      </c>
      <c r="B925" s="2">
        <v>21832</v>
      </c>
      <c r="C925" s="22" t="s">
        <v>936</v>
      </c>
      <c r="D925" s="6">
        <v>12</v>
      </c>
      <c r="E925" s="26">
        <v>40209.612500000003</v>
      </c>
      <c r="F925" s="11">
        <v>1.65</v>
      </c>
      <c r="G925" s="9">
        <v>18212</v>
      </c>
      <c r="H925" s="1" t="s">
        <v>9</v>
      </c>
      <c r="I925" s="3">
        <f t="shared" si="14"/>
        <v>19.799999999999997</v>
      </c>
    </row>
    <row r="926" spans="1:9" ht="15.75" customHeight="1" x14ac:dyDescent="0.25">
      <c r="A926" s="9">
        <v>529589</v>
      </c>
      <c r="B926" s="2">
        <v>20724</v>
      </c>
      <c r="C926" s="22" t="s">
        <v>801</v>
      </c>
      <c r="D926" s="6">
        <v>10</v>
      </c>
      <c r="E926" s="27" t="s">
        <v>937</v>
      </c>
      <c r="F926" s="11">
        <v>0.85</v>
      </c>
      <c r="G926" s="9">
        <v>17323</v>
      </c>
      <c r="H926" s="1" t="s">
        <v>9</v>
      </c>
      <c r="I926" s="3">
        <f t="shared" si="14"/>
        <v>8.5</v>
      </c>
    </row>
    <row r="927" spans="1:9" ht="15.75" customHeight="1" x14ac:dyDescent="0.25">
      <c r="A927" s="9">
        <v>489866</v>
      </c>
      <c r="B927" s="2">
        <v>82578</v>
      </c>
      <c r="C927" s="22" t="s">
        <v>623</v>
      </c>
      <c r="D927" s="6">
        <v>2</v>
      </c>
      <c r="E927" s="26">
        <v>40149.62777777778</v>
      </c>
      <c r="F927" s="11">
        <v>0.55000000000000004</v>
      </c>
      <c r="G927" s="9">
        <v>16200</v>
      </c>
      <c r="H927" s="1" t="s">
        <v>9</v>
      </c>
      <c r="I927" s="3">
        <f t="shared" si="14"/>
        <v>1.1000000000000001</v>
      </c>
    </row>
    <row r="928" spans="1:9" ht="15.75" customHeight="1" x14ac:dyDescent="0.25">
      <c r="A928" s="9">
        <v>537153</v>
      </c>
      <c r="B928" s="2">
        <v>21888</v>
      </c>
      <c r="C928" s="22" t="s">
        <v>149</v>
      </c>
      <c r="D928" s="6">
        <v>6</v>
      </c>
      <c r="E928" s="26">
        <v>40517.543749999997</v>
      </c>
      <c r="F928" s="11">
        <v>3.75</v>
      </c>
      <c r="G928" s="9">
        <v>16718</v>
      </c>
      <c r="H928" s="1" t="s">
        <v>9</v>
      </c>
      <c r="I928" s="3">
        <f t="shared" si="14"/>
        <v>22.5</v>
      </c>
    </row>
    <row r="929" spans="1:9" ht="15.75" customHeight="1" x14ac:dyDescent="0.25">
      <c r="A929" s="9">
        <v>504854</v>
      </c>
      <c r="B929" s="2">
        <v>21228</v>
      </c>
      <c r="C929" s="22" t="s">
        <v>938</v>
      </c>
      <c r="D929" s="6">
        <v>1</v>
      </c>
      <c r="E929" s="26">
        <v>40286.444444444453</v>
      </c>
      <c r="F929" s="11">
        <v>1.25</v>
      </c>
      <c r="G929" s="9">
        <v>16923</v>
      </c>
      <c r="H929" s="1" t="s">
        <v>9</v>
      </c>
      <c r="I929" s="3">
        <f t="shared" si="14"/>
        <v>1.25</v>
      </c>
    </row>
    <row r="930" spans="1:9" ht="15.75" customHeight="1" x14ac:dyDescent="0.25">
      <c r="A930" s="9">
        <v>522627</v>
      </c>
      <c r="B930" s="2">
        <v>22821</v>
      </c>
      <c r="C930" s="22" t="s">
        <v>939</v>
      </c>
      <c r="D930" s="6">
        <v>12</v>
      </c>
      <c r="E930" s="26">
        <v>40436.686111111107</v>
      </c>
      <c r="F930" s="11">
        <v>0.65</v>
      </c>
      <c r="G930" s="9">
        <v>15660</v>
      </c>
      <c r="H930" s="1" t="s">
        <v>9</v>
      </c>
      <c r="I930" s="3">
        <f t="shared" si="14"/>
        <v>7.8000000000000007</v>
      </c>
    </row>
    <row r="931" spans="1:9" ht="15.75" customHeight="1" x14ac:dyDescent="0.25">
      <c r="A931" s="9">
        <v>502925</v>
      </c>
      <c r="B931" s="2">
        <v>20729</v>
      </c>
      <c r="C931" s="22" t="s">
        <v>940</v>
      </c>
      <c r="D931" s="6">
        <v>1</v>
      </c>
      <c r="E931" s="26">
        <v>40266.59652777778</v>
      </c>
      <c r="F931" s="11">
        <v>1.25</v>
      </c>
      <c r="G931" s="9">
        <v>17841</v>
      </c>
      <c r="H931" s="1" t="s">
        <v>9</v>
      </c>
      <c r="I931" s="3">
        <f t="shared" si="14"/>
        <v>1.25</v>
      </c>
    </row>
    <row r="932" spans="1:9" ht="15.75" customHeight="1" x14ac:dyDescent="0.25">
      <c r="A932" s="9">
        <v>504861</v>
      </c>
      <c r="B932" s="2">
        <v>21927</v>
      </c>
      <c r="C932" s="22" t="s">
        <v>941</v>
      </c>
      <c r="D932" s="6">
        <v>4</v>
      </c>
      <c r="E932" s="26">
        <v>40286.503472222219</v>
      </c>
      <c r="F932" s="11">
        <v>1.25</v>
      </c>
      <c r="G932" s="9">
        <v>14702</v>
      </c>
      <c r="H932" s="1" t="s">
        <v>9</v>
      </c>
      <c r="I932" s="3">
        <f t="shared" si="14"/>
        <v>5</v>
      </c>
    </row>
    <row r="933" spans="1:9" ht="15.75" customHeight="1" x14ac:dyDescent="0.25">
      <c r="A933" s="9">
        <v>526900</v>
      </c>
      <c r="B933" s="2">
        <v>22389</v>
      </c>
      <c r="C933" s="22" t="s">
        <v>942</v>
      </c>
      <c r="D933" s="6">
        <v>36</v>
      </c>
      <c r="E933" s="26">
        <v>40464.629861111112</v>
      </c>
      <c r="F933" s="11">
        <v>0.85</v>
      </c>
      <c r="G933" s="9">
        <v>16120</v>
      </c>
      <c r="H933" s="1" t="s">
        <v>9</v>
      </c>
      <c r="I933" s="3">
        <f t="shared" si="14"/>
        <v>30.599999999999998</v>
      </c>
    </row>
    <row r="934" spans="1:9" ht="15.75" customHeight="1" x14ac:dyDescent="0.25">
      <c r="A934" s="9">
        <v>496222</v>
      </c>
      <c r="B934" s="2">
        <v>84946</v>
      </c>
      <c r="C934" s="22" t="s">
        <v>24</v>
      </c>
      <c r="D934" s="6">
        <v>12</v>
      </c>
      <c r="E934" s="26">
        <v>40207.578472222223</v>
      </c>
      <c r="F934" s="11">
        <v>1.25</v>
      </c>
      <c r="G934" s="9">
        <v>13583</v>
      </c>
      <c r="H934" s="1" t="s">
        <v>9</v>
      </c>
      <c r="I934" s="3">
        <f t="shared" si="14"/>
        <v>15</v>
      </c>
    </row>
    <row r="935" spans="1:9" ht="15.75" customHeight="1" x14ac:dyDescent="0.25">
      <c r="A935" s="9">
        <v>499272</v>
      </c>
      <c r="B935" s="2">
        <v>22329</v>
      </c>
      <c r="C935" s="22" t="s">
        <v>621</v>
      </c>
      <c r="D935" s="6">
        <v>2</v>
      </c>
      <c r="E935" s="26">
        <v>40234.699999999997</v>
      </c>
      <c r="F935" s="11">
        <v>1.65</v>
      </c>
      <c r="G935" s="9">
        <v>17032</v>
      </c>
      <c r="H935" s="1" t="s">
        <v>9</v>
      </c>
      <c r="I935" s="3">
        <f t="shared" si="14"/>
        <v>3.3</v>
      </c>
    </row>
    <row r="936" spans="1:9" ht="15.75" customHeight="1" x14ac:dyDescent="0.25">
      <c r="A936" s="9">
        <v>536030</v>
      </c>
      <c r="B936" s="2">
        <v>22173</v>
      </c>
      <c r="C936" s="22" t="s">
        <v>311</v>
      </c>
      <c r="D936" s="6">
        <v>8</v>
      </c>
      <c r="E936" s="26">
        <v>40511.695138888892</v>
      </c>
      <c r="F936" s="11">
        <v>2.95</v>
      </c>
      <c r="G936" s="9">
        <v>15828</v>
      </c>
      <c r="H936" s="1" t="s">
        <v>9</v>
      </c>
      <c r="I936" s="3">
        <f t="shared" si="14"/>
        <v>23.6</v>
      </c>
    </row>
    <row r="937" spans="1:9" ht="15.75" customHeight="1" x14ac:dyDescent="0.25">
      <c r="A937" s="9">
        <v>510962</v>
      </c>
      <c r="B937" s="2">
        <v>21474</v>
      </c>
      <c r="C937" s="22" t="s">
        <v>943</v>
      </c>
      <c r="D937" s="6">
        <v>2</v>
      </c>
      <c r="E937" s="26">
        <v>40333.459722222222</v>
      </c>
      <c r="F937" s="11">
        <v>19.95</v>
      </c>
      <c r="G937" s="9">
        <v>15547</v>
      </c>
      <c r="H937" s="1" t="s">
        <v>9</v>
      </c>
      <c r="I937" s="3">
        <f t="shared" si="14"/>
        <v>39.9</v>
      </c>
    </row>
    <row r="938" spans="1:9" ht="15.75" customHeight="1" x14ac:dyDescent="0.25">
      <c r="A938" s="9">
        <v>521819</v>
      </c>
      <c r="B938" s="2">
        <v>21115</v>
      </c>
      <c r="C938" s="22" t="s">
        <v>793</v>
      </c>
      <c r="D938" s="6">
        <v>2</v>
      </c>
      <c r="E938" s="26">
        <v>40429.678472222222</v>
      </c>
      <c r="F938" s="11">
        <v>6.75</v>
      </c>
      <c r="G938" s="9">
        <v>13717</v>
      </c>
      <c r="H938" s="1" t="s">
        <v>9</v>
      </c>
      <c r="I938" s="3">
        <f t="shared" si="14"/>
        <v>13.5</v>
      </c>
    </row>
    <row r="939" spans="1:9" ht="15.75" customHeight="1" x14ac:dyDescent="0.25">
      <c r="A939" s="9">
        <v>530085</v>
      </c>
      <c r="B939" s="2">
        <v>22842</v>
      </c>
      <c r="C939" s="22" t="s">
        <v>944</v>
      </c>
      <c r="D939" s="6">
        <v>1</v>
      </c>
      <c r="E939" s="26">
        <v>40483.55972222222</v>
      </c>
      <c r="F939" s="11">
        <v>6.75</v>
      </c>
      <c r="G939" s="9">
        <v>17315</v>
      </c>
      <c r="H939" s="1" t="s">
        <v>9</v>
      </c>
      <c r="I939" s="3">
        <f t="shared" si="14"/>
        <v>6.75</v>
      </c>
    </row>
    <row r="940" spans="1:9" ht="15.75" customHeight="1" x14ac:dyDescent="0.25">
      <c r="A940" s="9">
        <v>496057</v>
      </c>
      <c r="B940" s="2">
        <v>21181</v>
      </c>
      <c r="C940" s="22" t="s">
        <v>429</v>
      </c>
      <c r="D940" s="6">
        <v>6</v>
      </c>
      <c r="E940" s="26">
        <v>40206.62777777778</v>
      </c>
      <c r="F940" s="11">
        <v>2.1</v>
      </c>
      <c r="G940" s="9">
        <v>16137</v>
      </c>
      <c r="H940" s="1" t="s">
        <v>9</v>
      </c>
      <c r="I940" s="3">
        <f t="shared" si="14"/>
        <v>12.600000000000001</v>
      </c>
    </row>
    <row r="941" spans="1:9" ht="15.75" customHeight="1" x14ac:dyDescent="0.25">
      <c r="A941" s="9">
        <v>496926</v>
      </c>
      <c r="B941" s="2">
        <v>84992</v>
      </c>
      <c r="C941" s="22" t="s">
        <v>945</v>
      </c>
      <c r="D941" s="6">
        <v>4</v>
      </c>
      <c r="E941" s="26">
        <v>40213.677777777782</v>
      </c>
      <c r="F941" s="11">
        <v>0.55000000000000004</v>
      </c>
      <c r="G941" s="9">
        <v>17965</v>
      </c>
      <c r="H941" s="1" t="s">
        <v>9</v>
      </c>
      <c r="I941" s="3">
        <f t="shared" si="14"/>
        <v>2.2000000000000002</v>
      </c>
    </row>
    <row r="942" spans="1:9" ht="15.75" customHeight="1" x14ac:dyDescent="0.25">
      <c r="A942" s="9">
        <v>522110</v>
      </c>
      <c r="B942" s="2" t="s">
        <v>21</v>
      </c>
      <c r="C942" s="22" t="s">
        <v>22</v>
      </c>
      <c r="D942" s="6">
        <v>3</v>
      </c>
      <c r="E942" s="26">
        <v>40433.635416666657</v>
      </c>
      <c r="F942" s="11">
        <v>5.95</v>
      </c>
      <c r="G942" s="9">
        <v>13455</v>
      </c>
      <c r="H942" s="1" t="s">
        <v>9</v>
      </c>
      <c r="I942" s="3">
        <f t="shared" si="14"/>
        <v>17.850000000000001</v>
      </c>
    </row>
    <row r="943" spans="1:9" ht="15.75" customHeight="1" x14ac:dyDescent="0.25">
      <c r="A943" s="9">
        <v>527937</v>
      </c>
      <c r="B943" s="2">
        <v>22748</v>
      </c>
      <c r="C943" s="22" t="s">
        <v>946</v>
      </c>
      <c r="D943" s="6">
        <v>6</v>
      </c>
      <c r="E943" s="26">
        <v>40470.586805555547</v>
      </c>
      <c r="F943" s="11">
        <v>2.1</v>
      </c>
      <c r="G943" s="9">
        <v>12594</v>
      </c>
      <c r="H943" s="1" t="s">
        <v>106</v>
      </c>
      <c r="I943" s="3">
        <f t="shared" si="14"/>
        <v>12.600000000000001</v>
      </c>
    </row>
    <row r="944" spans="1:9" ht="15.75" customHeight="1" x14ac:dyDescent="0.25">
      <c r="A944" s="9">
        <v>525694</v>
      </c>
      <c r="B944" s="2">
        <v>22711</v>
      </c>
      <c r="C944" s="22" t="s">
        <v>565</v>
      </c>
      <c r="D944" s="6">
        <v>25</v>
      </c>
      <c r="E944" s="26">
        <v>40457.520833333343</v>
      </c>
      <c r="F944" s="11">
        <v>0.42</v>
      </c>
      <c r="G944" s="9">
        <v>17429</v>
      </c>
      <c r="H944" s="1" t="s">
        <v>9</v>
      </c>
      <c r="I944" s="3">
        <f t="shared" si="14"/>
        <v>10.5</v>
      </c>
    </row>
    <row r="945" spans="1:9" ht="15.75" customHeight="1" x14ac:dyDescent="0.25">
      <c r="A945" s="9">
        <v>502337</v>
      </c>
      <c r="B945" s="2">
        <v>22447</v>
      </c>
      <c r="C945" s="22" t="s">
        <v>947</v>
      </c>
      <c r="D945" s="6">
        <v>1</v>
      </c>
      <c r="E945" s="26">
        <v>40261.447916666657</v>
      </c>
      <c r="F945" s="11">
        <v>3.35</v>
      </c>
      <c r="G945" s="9">
        <v>17377</v>
      </c>
      <c r="H945" s="1" t="s">
        <v>9</v>
      </c>
      <c r="I945" s="3">
        <f t="shared" si="14"/>
        <v>3.35</v>
      </c>
    </row>
    <row r="946" spans="1:9" ht="15.75" customHeight="1" x14ac:dyDescent="0.25">
      <c r="A946" s="9">
        <v>492374</v>
      </c>
      <c r="B946" s="2">
        <v>22297</v>
      </c>
      <c r="C946" s="22" t="s">
        <v>581</v>
      </c>
      <c r="D946" s="6">
        <v>48</v>
      </c>
      <c r="E946" s="26">
        <v>40163.611805555563</v>
      </c>
      <c r="F946" s="11">
        <v>1.25</v>
      </c>
      <c r="G946" s="9">
        <v>15984</v>
      </c>
      <c r="H946" s="1" t="s">
        <v>9</v>
      </c>
      <c r="I946" s="3">
        <f t="shared" si="14"/>
        <v>60</v>
      </c>
    </row>
    <row r="947" spans="1:9" ht="15.75" customHeight="1" x14ac:dyDescent="0.25">
      <c r="A947" s="9">
        <v>517070</v>
      </c>
      <c r="B947" s="2">
        <v>22087</v>
      </c>
      <c r="C947" s="22" t="s">
        <v>948</v>
      </c>
      <c r="D947" s="6">
        <v>12</v>
      </c>
      <c r="E947" s="26">
        <v>40385.581250000003</v>
      </c>
      <c r="F947" s="11">
        <v>2.95</v>
      </c>
      <c r="G947" s="9">
        <v>14257</v>
      </c>
      <c r="H947" s="1" t="s">
        <v>9</v>
      </c>
      <c r="I947" s="3">
        <f t="shared" si="14"/>
        <v>35.400000000000006</v>
      </c>
    </row>
    <row r="948" spans="1:9" ht="15.75" customHeight="1" x14ac:dyDescent="0.25">
      <c r="A948" s="9">
        <v>534786</v>
      </c>
      <c r="B948" s="2">
        <v>22111</v>
      </c>
      <c r="C948" s="22" t="s">
        <v>178</v>
      </c>
      <c r="D948" s="6">
        <v>3</v>
      </c>
      <c r="E948" s="26">
        <v>40506.472916666673</v>
      </c>
      <c r="F948" s="11">
        <v>4.95</v>
      </c>
      <c r="G948" s="9">
        <v>15854</v>
      </c>
      <c r="H948" s="1" t="s">
        <v>9</v>
      </c>
      <c r="I948" s="3">
        <f t="shared" si="14"/>
        <v>14.850000000000001</v>
      </c>
    </row>
    <row r="949" spans="1:9" ht="15.75" customHeight="1" x14ac:dyDescent="0.25">
      <c r="A949" s="9">
        <v>506433</v>
      </c>
      <c r="B949" s="2" t="s">
        <v>751</v>
      </c>
      <c r="C949" s="22" t="s">
        <v>752</v>
      </c>
      <c r="D949" s="6">
        <v>6</v>
      </c>
      <c r="E949" s="27" t="s">
        <v>949</v>
      </c>
      <c r="F949" s="11">
        <v>3.75</v>
      </c>
      <c r="G949" s="9">
        <v>18141</v>
      </c>
      <c r="H949" s="1" t="s">
        <v>9</v>
      </c>
      <c r="I949" s="3">
        <f t="shared" si="14"/>
        <v>22.5</v>
      </c>
    </row>
    <row r="950" spans="1:9" ht="15.75" customHeight="1" x14ac:dyDescent="0.25">
      <c r="A950" s="9">
        <v>535366</v>
      </c>
      <c r="B950" s="2">
        <v>21191</v>
      </c>
      <c r="C950" s="22" t="s">
        <v>950</v>
      </c>
      <c r="D950" s="6">
        <v>6</v>
      </c>
      <c r="E950" s="26">
        <v>40507.737500000003</v>
      </c>
      <c r="F950" s="11">
        <v>2.1</v>
      </c>
      <c r="G950" s="9">
        <v>14264</v>
      </c>
      <c r="H950" s="1" t="s">
        <v>9</v>
      </c>
      <c r="I950" s="3">
        <f t="shared" si="14"/>
        <v>12.600000000000001</v>
      </c>
    </row>
    <row r="951" spans="1:9" ht="15.75" customHeight="1" x14ac:dyDescent="0.25">
      <c r="A951" s="9">
        <v>516744</v>
      </c>
      <c r="B951" s="2">
        <v>22128</v>
      </c>
      <c r="C951" s="22" t="s">
        <v>952</v>
      </c>
      <c r="D951" s="6">
        <v>24</v>
      </c>
      <c r="E951" s="26">
        <v>40381.602083333331</v>
      </c>
      <c r="F951" s="11">
        <v>1.25</v>
      </c>
      <c r="G951" s="9">
        <v>14236</v>
      </c>
      <c r="H951" s="1" t="s">
        <v>9</v>
      </c>
      <c r="I951" s="3">
        <f t="shared" si="14"/>
        <v>30</v>
      </c>
    </row>
    <row r="952" spans="1:9" ht="15.75" customHeight="1" x14ac:dyDescent="0.25">
      <c r="A952" s="9">
        <v>490466</v>
      </c>
      <c r="B952" s="2">
        <v>72122</v>
      </c>
      <c r="C952" s="22" t="s">
        <v>953</v>
      </c>
      <c r="D952" s="6">
        <v>4</v>
      </c>
      <c r="E952" s="26">
        <v>40153.511111111111</v>
      </c>
      <c r="F952" s="11">
        <v>0.95</v>
      </c>
      <c r="G952" s="9">
        <v>17085</v>
      </c>
      <c r="H952" s="1" t="s">
        <v>9</v>
      </c>
      <c r="I952" s="3">
        <f t="shared" si="14"/>
        <v>3.8</v>
      </c>
    </row>
    <row r="953" spans="1:9" ht="15.75" customHeight="1" x14ac:dyDescent="0.25">
      <c r="A953" s="9">
        <v>527935</v>
      </c>
      <c r="B953" s="2">
        <v>22625</v>
      </c>
      <c r="C953" s="22" t="s">
        <v>954</v>
      </c>
      <c r="D953" s="6">
        <v>1</v>
      </c>
      <c r="E953" s="26">
        <v>40470.568055555559</v>
      </c>
      <c r="F953" s="11">
        <v>8.5</v>
      </c>
      <c r="G953" s="9">
        <v>16719</v>
      </c>
      <c r="H953" s="1" t="s">
        <v>9</v>
      </c>
      <c r="I953" s="3">
        <f t="shared" si="14"/>
        <v>8.5</v>
      </c>
    </row>
    <row r="954" spans="1:9" ht="15.75" customHeight="1" x14ac:dyDescent="0.25">
      <c r="A954" s="9">
        <v>504904</v>
      </c>
      <c r="B954" s="2">
        <v>21926</v>
      </c>
      <c r="C954" s="22" t="s">
        <v>955</v>
      </c>
      <c r="D954" s="6">
        <v>2</v>
      </c>
      <c r="E954" s="26">
        <v>40286.661805555559</v>
      </c>
      <c r="F954" s="11">
        <v>1.25</v>
      </c>
      <c r="G954" s="9">
        <v>18069</v>
      </c>
      <c r="H954" s="1" t="s">
        <v>9</v>
      </c>
      <c r="I954" s="3">
        <f t="shared" si="14"/>
        <v>2.5</v>
      </c>
    </row>
    <row r="955" spans="1:9" ht="15.75" customHeight="1" x14ac:dyDescent="0.25">
      <c r="A955" s="9">
        <v>511853</v>
      </c>
      <c r="B955" s="2">
        <v>22073</v>
      </c>
      <c r="C955" s="22" t="s">
        <v>956</v>
      </c>
      <c r="D955" s="6">
        <v>8</v>
      </c>
      <c r="E955" s="26">
        <v>40340.338888888888</v>
      </c>
      <c r="F955" s="11">
        <v>3.39</v>
      </c>
      <c r="G955" s="9">
        <v>14298</v>
      </c>
      <c r="H955" s="1" t="s">
        <v>9</v>
      </c>
      <c r="I955" s="3">
        <f t="shared" si="14"/>
        <v>27.12</v>
      </c>
    </row>
    <row r="956" spans="1:9" ht="15.75" customHeight="1" x14ac:dyDescent="0.25">
      <c r="A956" s="9">
        <v>522644</v>
      </c>
      <c r="B956" s="2">
        <v>22583</v>
      </c>
      <c r="C956" s="22" t="s">
        <v>303</v>
      </c>
      <c r="D956" s="6">
        <v>1</v>
      </c>
      <c r="E956" s="26">
        <v>40437.446527777778</v>
      </c>
      <c r="F956" s="11">
        <v>2.5499999999999998</v>
      </c>
      <c r="G956" s="9">
        <v>15723</v>
      </c>
      <c r="H956" s="1" t="s">
        <v>9</v>
      </c>
      <c r="I956" s="3">
        <f t="shared" si="14"/>
        <v>2.5499999999999998</v>
      </c>
    </row>
    <row r="957" spans="1:9" ht="15.75" customHeight="1" x14ac:dyDescent="0.25">
      <c r="A957" s="9">
        <v>514661</v>
      </c>
      <c r="B957" s="2">
        <v>21741</v>
      </c>
      <c r="C957" s="22" t="s">
        <v>299</v>
      </c>
      <c r="D957" s="6">
        <v>4</v>
      </c>
      <c r="E957" s="26">
        <v>40364.534722222219</v>
      </c>
      <c r="F957" s="11">
        <v>2.95</v>
      </c>
      <c r="G957" s="9">
        <v>14701</v>
      </c>
      <c r="H957" s="1" t="s">
        <v>9</v>
      </c>
      <c r="I957" s="3">
        <f t="shared" si="14"/>
        <v>11.8</v>
      </c>
    </row>
    <row r="958" spans="1:9" ht="15.75" customHeight="1" x14ac:dyDescent="0.25">
      <c r="A958" s="9">
        <v>507419</v>
      </c>
      <c r="B958" s="2">
        <v>21204</v>
      </c>
      <c r="C958" s="22" t="s">
        <v>957</v>
      </c>
      <c r="D958" s="6">
        <v>12</v>
      </c>
      <c r="E958" s="27" t="s">
        <v>958</v>
      </c>
      <c r="F958" s="11">
        <v>1.65</v>
      </c>
      <c r="G958" s="9">
        <v>14129</v>
      </c>
      <c r="H958" s="1" t="s">
        <v>9</v>
      </c>
      <c r="I958" s="3">
        <f t="shared" si="14"/>
        <v>19.799999999999997</v>
      </c>
    </row>
    <row r="959" spans="1:9" ht="15.75" customHeight="1" x14ac:dyDescent="0.25">
      <c r="A959" s="9">
        <v>525714</v>
      </c>
      <c r="B959" s="2">
        <v>21929</v>
      </c>
      <c r="C959" s="22" t="s">
        <v>458</v>
      </c>
      <c r="D959" s="6">
        <v>100</v>
      </c>
      <c r="E959" s="26">
        <v>40457.599999999999</v>
      </c>
      <c r="F959" s="11">
        <v>1.65</v>
      </c>
      <c r="G959" s="9">
        <v>13629</v>
      </c>
      <c r="H959" s="1" t="s">
        <v>9</v>
      </c>
      <c r="I959" s="3">
        <f t="shared" si="14"/>
        <v>165</v>
      </c>
    </row>
    <row r="960" spans="1:9" ht="15.75" customHeight="1" x14ac:dyDescent="0.25">
      <c r="A960" s="9">
        <v>496551</v>
      </c>
      <c r="B960" s="2">
        <v>21437</v>
      </c>
      <c r="C960" s="22" t="s">
        <v>959</v>
      </c>
      <c r="D960" s="6">
        <v>1</v>
      </c>
      <c r="E960" s="26">
        <v>40211.550694444442</v>
      </c>
      <c r="F960" s="11">
        <v>3.75</v>
      </c>
      <c r="G960" s="9">
        <v>13975</v>
      </c>
      <c r="H960" s="1" t="s">
        <v>9</v>
      </c>
      <c r="I960" s="3">
        <f t="shared" si="14"/>
        <v>3.75</v>
      </c>
    </row>
    <row r="961" spans="1:9" ht="15.75" customHeight="1" x14ac:dyDescent="0.25">
      <c r="A961" s="9">
        <v>514823</v>
      </c>
      <c r="B961" s="2">
        <v>21906</v>
      </c>
      <c r="C961" s="22" t="s">
        <v>960</v>
      </c>
      <c r="D961" s="6">
        <v>2</v>
      </c>
      <c r="E961" s="26">
        <v>40365.513194444437</v>
      </c>
      <c r="F961" s="11">
        <v>6.75</v>
      </c>
      <c r="G961" s="9">
        <v>12730</v>
      </c>
      <c r="H961" s="1" t="s">
        <v>17</v>
      </c>
      <c r="I961" s="3">
        <f t="shared" si="14"/>
        <v>13.5</v>
      </c>
    </row>
    <row r="962" spans="1:9" ht="15.75" customHeight="1" x14ac:dyDescent="0.25">
      <c r="A962" s="9">
        <v>489814</v>
      </c>
      <c r="B962" s="2">
        <v>84270</v>
      </c>
      <c r="C962" s="22" t="s">
        <v>961</v>
      </c>
      <c r="D962" s="6">
        <v>30</v>
      </c>
      <c r="E962" s="26">
        <v>40149.54583333333</v>
      </c>
      <c r="F962" s="11">
        <v>0.21</v>
      </c>
      <c r="G962" s="9">
        <v>14669</v>
      </c>
      <c r="H962" s="1" t="s">
        <v>9</v>
      </c>
      <c r="I962" s="3">
        <f t="shared" ref="I962:I974" si="15">(D962 *F962)</f>
        <v>6.3</v>
      </c>
    </row>
    <row r="963" spans="1:9" ht="15.75" customHeight="1" x14ac:dyDescent="0.25">
      <c r="A963" s="9">
        <v>522739</v>
      </c>
      <c r="B963" s="2">
        <v>22210</v>
      </c>
      <c r="C963" s="22" t="s">
        <v>962</v>
      </c>
      <c r="D963" s="6">
        <v>1</v>
      </c>
      <c r="E963" s="26">
        <v>40437.54583333333</v>
      </c>
      <c r="F963" s="11">
        <v>1.65</v>
      </c>
      <c r="G963" s="9">
        <v>14963</v>
      </c>
      <c r="H963" s="1" t="s">
        <v>9</v>
      </c>
      <c r="I963" s="3">
        <f t="shared" si="15"/>
        <v>1.65</v>
      </c>
    </row>
    <row r="964" spans="1:9" ht="15.75" customHeight="1" x14ac:dyDescent="0.25">
      <c r="A964" s="9" t="s">
        <v>963</v>
      </c>
      <c r="B964" s="2">
        <v>20893</v>
      </c>
      <c r="C964" s="22" t="s">
        <v>964</v>
      </c>
      <c r="D964" s="6">
        <v>-72</v>
      </c>
      <c r="E964" s="26">
        <v>40386.552777777782</v>
      </c>
      <c r="F964" s="11">
        <v>2.1</v>
      </c>
      <c r="G964" s="9">
        <v>17408</v>
      </c>
      <c r="H964" s="1" t="s">
        <v>9</v>
      </c>
      <c r="I964" s="3">
        <f t="shared" si="15"/>
        <v>-151.20000000000002</v>
      </c>
    </row>
    <row r="965" spans="1:9" ht="15.75" customHeight="1" x14ac:dyDescent="0.25">
      <c r="A965" s="9">
        <v>512608</v>
      </c>
      <c r="B965" s="2" t="s">
        <v>965</v>
      </c>
      <c r="C965" s="22" t="s">
        <v>966</v>
      </c>
      <c r="D965" s="6">
        <v>24</v>
      </c>
      <c r="E965" s="26">
        <v>40346.413888888892</v>
      </c>
      <c r="F965" s="11">
        <v>0.85</v>
      </c>
      <c r="G965" s="9">
        <v>13488</v>
      </c>
      <c r="H965" s="1" t="s">
        <v>9</v>
      </c>
      <c r="I965" s="3">
        <f t="shared" si="15"/>
        <v>20.399999999999999</v>
      </c>
    </row>
    <row r="966" spans="1:9" ht="15.75" customHeight="1" x14ac:dyDescent="0.25">
      <c r="A966" s="9">
        <v>494915</v>
      </c>
      <c r="B966" s="2">
        <v>21122</v>
      </c>
      <c r="C966" s="22" t="s">
        <v>967</v>
      </c>
      <c r="D966" s="6">
        <v>3</v>
      </c>
      <c r="E966" s="26">
        <v>40197.716666666667</v>
      </c>
      <c r="F966" s="11">
        <v>1.25</v>
      </c>
      <c r="G966" s="9">
        <v>13564</v>
      </c>
      <c r="H966" s="1" t="s">
        <v>9</v>
      </c>
      <c r="I966" s="3">
        <f t="shared" si="15"/>
        <v>3.75</v>
      </c>
    </row>
    <row r="967" spans="1:9" ht="15.75" customHeight="1" x14ac:dyDescent="0.25">
      <c r="A967" s="9">
        <v>513952</v>
      </c>
      <c r="B967" s="2" t="s">
        <v>968</v>
      </c>
      <c r="C967" s="22" t="s">
        <v>969</v>
      </c>
      <c r="D967" s="6">
        <v>6</v>
      </c>
      <c r="E967" s="26">
        <v>40358.59097222222</v>
      </c>
      <c r="F967" s="11">
        <v>0.55000000000000004</v>
      </c>
      <c r="G967" s="9">
        <v>14049</v>
      </c>
      <c r="H967" s="1" t="s">
        <v>9</v>
      </c>
      <c r="I967" s="3">
        <f t="shared" si="15"/>
        <v>3.3000000000000003</v>
      </c>
    </row>
    <row r="968" spans="1:9" ht="15.75" customHeight="1" x14ac:dyDescent="0.25">
      <c r="A968" s="9">
        <v>503834</v>
      </c>
      <c r="B968" s="2">
        <v>22530</v>
      </c>
      <c r="C968" s="22" t="s">
        <v>970</v>
      </c>
      <c r="D968" s="6">
        <v>384</v>
      </c>
      <c r="E968" s="26">
        <v>40275.675694444442</v>
      </c>
      <c r="F968" s="11">
        <v>0.36</v>
      </c>
      <c r="G968" s="9">
        <v>12482</v>
      </c>
      <c r="H968" s="1" t="s">
        <v>519</v>
      </c>
      <c r="I968" s="3">
        <f t="shared" si="15"/>
        <v>138.24</v>
      </c>
    </row>
    <row r="969" spans="1:9" ht="15.75" customHeight="1" x14ac:dyDescent="0.25">
      <c r="A969" s="9">
        <v>533469</v>
      </c>
      <c r="B969" s="2">
        <v>22457</v>
      </c>
      <c r="C969" s="22" t="s">
        <v>390</v>
      </c>
      <c r="D969" s="6">
        <v>4</v>
      </c>
      <c r="E969" s="27" t="s">
        <v>971</v>
      </c>
      <c r="F969" s="11">
        <v>2.95</v>
      </c>
      <c r="G969" s="9">
        <v>16016</v>
      </c>
      <c r="H969" s="1" t="s">
        <v>9</v>
      </c>
      <c r="I969" s="3">
        <f t="shared" si="15"/>
        <v>11.8</v>
      </c>
    </row>
    <row r="970" spans="1:9" ht="15.75" customHeight="1" x14ac:dyDescent="0.25">
      <c r="A970" s="9">
        <v>525317</v>
      </c>
      <c r="B970" s="2" t="s">
        <v>972</v>
      </c>
      <c r="C970" s="22" t="s">
        <v>973</v>
      </c>
      <c r="D970" s="6">
        <v>3</v>
      </c>
      <c r="E970" s="26">
        <v>40456.470138888893</v>
      </c>
      <c r="F970" s="11">
        <v>3.75</v>
      </c>
      <c r="G970" s="9">
        <v>15311</v>
      </c>
      <c r="H970" s="1" t="s">
        <v>9</v>
      </c>
      <c r="I970" s="3">
        <f t="shared" si="15"/>
        <v>11.25</v>
      </c>
    </row>
    <row r="971" spans="1:9" ht="15.75" customHeight="1" x14ac:dyDescent="0.25">
      <c r="A971" s="9">
        <v>509031</v>
      </c>
      <c r="B971" s="2">
        <v>21563</v>
      </c>
      <c r="C971" s="22" t="s">
        <v>70</v>
      </c>
      <c r="D971" s="6">
        <v>2</v>
      </c>
      <c r="E971" s="26">
        <v>40317.6875</v>
      </c>
      <c r="F971" s="11">
        <v>2.95</v>
      </c>
      <c r="G971" s="9">
        <v>17950</v>
      </c>
      <c r="H971" s="1" t="s">
        <v>9</v>
      </c>
      <c r="I971" s="3">
        <f t="shared" si="15"/>
        <v>5.9</v>
      </c>
    </row>
    <row r="972" spans="1:9" ht="15.75" customHeight="1" x14ac:dyDescent="0.25">
      <c r="A972" s="9">
        <v>503824</v>
      </c>
      <c r="B972" s="2">
        <v>22177</v>
      </c>
      <c r="C972" s="22" t="s">
        <v>975</v>
      </c>
      <c r="D972" s="6">
        <v>1</v>
      </c>
      <c r="E972" s="26">
        <v>40275.626388888893</v>
      </c>
      <c r="F972" s="11">
        <v>9.9499999999999993</v>
      </c>
      <c r="G972" s="9">
        <v>13593</v>
      </c>
      <c r="H972" s="1" t="s">
        <v>9</v>
      </c>
      <c r="I972" s="3">
        <f t="shared" si="15"/>
        <v>9.9499999999999993</v>
      </c>
    </row>
    <row r="973" spans="1:9" ht="15.75" customHeight="1" x14ac:dyDescent="0.25">
      <c r="A973" s="9">
        <v>489998</v>
      </c>
      <c r="B973" s="2">
        <v>21693</v>
      </c>
      <c r="C973" s="22" t="s">
        <v>976</v>
      </c>
      <c r="D973" s="6">
        <v>6</v>
      </c>
      <c r="E973" s="26">
        <v>40150.47152777778</v>
      </c>
      <c r="F973" s="11">
        <v>2.95</v>
      </c>
      <c r="G973" s="9">
        <v>15658</v>
      </c>
      <c r="H973" s="1" t="s">
        <v>9</v>
      </c>
      <c r="I973" s="3">
        <f t="shared" si="15"/>
        <v>17.700000000000003</v>
      </c>
    </row>
    <row r="974" spans="1:9" ht="15.75" customHeight="1" x14ac:dyDescent="0.25">
      <c r="A974" s="9">
        <v>524305</v>
      </c>
      <c r="B974" s="2">
        <v>11001</v>
      </c>
      <c r="C974" s="22" t="s">
        <v>977</v>
      </c>
      <c r="D974" s="6">
        <v>16</v>
      </c>
      <c r="E974" s="26">
        <v>40449.569444444453</v>
      </c>
      <c r="F974" s="11">
        <v>1.69</v>
      </c>
      <c r="G974" s="9">
        <v>14988</v>
      </c>
      <c r="H974" s="1" t="s">
        <v>9</v>
      </c>
      <c r="I974" s="3">
        <f t="shared" si="15"/>
        <v>27.04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6" sqref="A26"/>
    </sheetView>
  </sheetViews>
  <sheetFormatPr defaultRowHeight="15" x14ac:dyDescent="0.25"/>
  <cols>
    <col min="1" max="1" width="124.7109375" customWidth="1"/>
    <col min="2" max="3" width="21.5703125" customWidth="1"/>
    <col min="4" max="4" width="17.85546875" customWidth="1"/>
  </cols>
  <sheetData>
    <row r="1" spans="1:1" x14ac:dyDescent="0.25">
      <c r="A1" s="35" t="s">
        <v>990</v>
      </c>
    </row>
    <row r="2" spans="1:1" x14ac:dyDescent="0.25">
      <c r="A2" s="36" t="s">
        <v>57</v>
      </c>
    </row>
    <row r="4" spans="1:1" x14ac:dyDescent="0.25">
      <c r="A4" s="35" t="s">
        <v>991</v>
      </c>
    </row>
    <row r="5" spans="1:1" x14ac:dyDescent="0.25">
      <c r="A5" s="36" t="s">
        <v>57</v>
      </c>
    </row>
    <row r="6" spans="1:1" x14ac:dyDescent="0.25">
      <c r="A6" s="31"/>
    </row>
    <row r="7" spans="1:1" x14ac:dyDescent="0.25">
      <c r="A7" s="35" t="s">
        <v>995</v>
      </c>
    </row>
    <row r="8" spans="1:1" x14ac:dyDescent="0.25">
      <c r="A8" s="37" t="s">
        <v>11</v>
      </c>
    </row>
    <row r="10" spans="1:1" x14ac:dyDescent="0.25">
      <c r="A10" s="35" t="s">
        <v>996</v>
      </c>
    </row>
    <row r="11" spans="1:1" x14ac:dyDescent="0.25">
      <c r="A11" s="36" t="s">
        <v>57</v>
      </c>
    </row>
    <row r="12" spans="1:1" x14ac:dyDescent="0.25">
      <c r="A12" s="36" t="s">
        <v>992</v>
      </c>
    </row>
    <row r="13" spans="1:1" x14ac:dyDescent="0.25">
      <c r="A13" s="36" t="s">
        <v>993</v>
      </c>
    </row>
    <row r="14" spans="1:1" x14ac:dyDescent="0.25">
      <c r="A14" s="36" t="s">
        <v>11</v>
      </c>
    </row>
    <row r="15" spans="1:1" x14ac:dyDescent="0.25">
      <c r="A15" s="36" t="s">
        <v>404</v>
      </c>
    </row>
    <row r="17" spans="1:1" x14ac:dyDescent="0.25">
      <c r="A17" s="35" t="s">
        <v>997</v>
      </c>
    </row>
    <row r="18" spans="1:1" x14ac:dyDescent="0.25">
      <c r="A18" s="36" t="s">
        <v>994</v>
      </c>
    </row>
    <row r="20" spans="1:1" x14ac:dyDescent="0.25">
      <c r="A20" s="35" t="s">
        <v>998</v>
      </c>
    </row>
    <row r="21" spans="1:1" x14ac:dyDescent="0.25">
      <c r="A21" s="38" t="s">
        <v>999</v>
      </c>
    </row>
    <row r="22" spans="1:1" x14ac:dyDescent="0.25">
      <c r="A22" s="38" t="s">
        <v>1000</v>
      </c>
    </row>
    <row r="23" spans="1:1" x14ac:dyDescent="0.25">
      <c r="A23" s="38" t="s">
        <v>1001</v>
      </c>
    </row>
    <row r="24" spans="1:1" x14ac:dyDescent="0.25">
      <c r="A24" s="38" t="s">
        <v>1002</v>
      </c>
    </row>
    <row r="25" spans="1:1" x14ac:dyDescent="0.25">
      <c r="A25" s="38" t="s">
        <v>1003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workbookViewId="0">
      <selection activeCell="A4" sqref="A4"/>
    </sheetView>
  </sheetViews>
  <sheetFormatPr defaultRowHeight="15" x14ac:dyDescent="0.25"/>
  <cols>
    <col min="1" max="1" width="15.85546875" customWidth="1"/>
    <col min="2" max="2" width="15.5703125" bestFit="1" customWidth="1"/>
  </cols>
  <sheetData>
    <row r="3" spans="1:2" x14ac:dyDescent="0.25">
      <c r="A3" s="33" t="s">
        <v>987</v>
      </c>
      <c r="B3" t="s">
        <v>989</v>
      </c>
    </row>
    <row r="4" spans="1:2" x14ac:dyDescent="0.25">
      <c r="A4" s="4" t="s">
        <v>9</v>
      </c>
      <c r="B4" s="34">
        <v>16714.890000000018</v>
      </c>
    </row>
    <row r="5" spans="1:2" x14ac:dyDescent="0.25">
      <c r="A5" s="4" t="s">
        <v>114</v>
      </c>
      <c r="B5" s="34">
        <v>1083.5999999999999</v>
      </c>
    </row>
    <row r="6" spans="1:2" x14ac:dyDescent="0.25">
      <c r="A6" s="4" t="s">
        <v>116</v>
      </c>
      <c r="B6" s="34">
        <v>872.13000000000011</v>
      </c>
    </row>
    <row r="7" spans="1:2" x14ac:dyDescent="0.25">
      <c r="A7" s="4" t="s">
        <v>978</v>
      </c>
      <c r="B7" s="34">
        <v>842.00000000000011</v>
      </c>
    </row>
    <row r="8" spans="1:2" x14ac:dyDescent="0.25">
      <c r="A8" s="4" t="s">
        <v>28</v>
      </c>
      <c r="B8" s="34">
        <v>735.7600000000001</v>
      </c>
    </row>
    <row r="9" spans="1:2" x14ac:dyDescent="0.25">
      <c r="A9" s="4" t="s">
        <v>17</v>
      </c>
      <c r="B9" s="34">
        <v>466.5</v>
      </c>
    </row>
    <row r="10" spans="1:2" x14ac:dyDescent="0.25">
      <c r="A10" s="4" t="s">
        <v>519</v>
      </c>
      <c r="B10" s="34">
        <v>155.64000000000001</v>
      </c>
    </row>
    <row r="11" spans="1:2" x14ac:dyDescent="0.25">
      <c r="A11" s="4" t="s">
        <v>245</v>
      </c>
      <c r="B11" s="34">
        <v>129.30000000000001</v>
      </c>
    </row>
    <row r="12" spans="1:2" x14ac:dyDescent="0.25">
      <c r="A12" s="4" t="s">
        <v>314</v>
      </c>
      <c r="B12" s="34">
        <v>127.49999999999999</v>
      </c>
    </row>
    <row r="13" spans="1:2" x14ac:dyDescent="0.25">
      <c r="A13" s="4" t="s">
        <v>982</v>
      </c>
      <c r="B13" s="34">
        <v>71.25</v>
      </c>
    </row>
    <row r="14" spans="1:2" x14ac:dyDescent="0.25">
      <c r="A14" s="4" t="s">
        <v>230</v>
      </c>
      <c r="B14" s="34">
        <v>68.98</v>
      </c>
    </row>
    <row r="15" spans="1:2" x14ac:dyDescent="0.25">
      <c r="A15" s="4" t="s">
        <v>82</v>
      </c>
      <c r="B15" s="34">
        <v>64.5</v>
      </c>
    </row>
    <row r="16" spans="1:2" x14ac:dyDescent="0.25">
      <c r="A16" s="4" t="s">
        <v>339</v>
      </c>
      <c r="B16" s="34">
        <v>55.98</v>
      </c>
    </row>
    <row r="17" spans="1:2" x14ac:dyDescent="0.25">
      <c r="A17" s="4" t="s">
        <v>343</v>
      </c>
      <c r="B17" s="34">
        <v>45.6</v>
      </c>
    </row>
    <row r="18" spans="1:2" x14ac:dyDescent="0.25">
      <c r="A18" s="4" t="s">
        <v>568</v>
      </c>
      <c r="B18" s="34">
        <v>32.700000000000003</v>
      </c>
    </row>
    <row r="19" spans="1:2" x14ac:dyDescent="0.25">
      <c r="A19" s="4" t="s">
        <v>106</v>
      </c>
      <c r="B19" s="34">
        <v>29.6</v>
      </c>
    </row>
    <row r="20" spans="1:2" x14ac:dyDescent="0.25">
      <c r="A20" s="4" t="s">
        <v>160</v>
      </c>
      <c r="B20" s="34">
        <v>27.6</v>
      </c>
    </row>
    <row r="21" spans="1:2" x14ac:dyDescent="0.25">
      <c r="A21" s="4" t="s">
        <v>979</v>
      </c>
      <c r="B21" s="34">
        <v>19.799999999999997</v>
      </c>
    </row>
    <row r="22" spans="1:2" x14ac:dyDescent="0.25">
      <c r="A22" s="4" t="s">
        <v>981</v>
      </c>
      <c r="B22" s="34">
        <v>16.149999999999999</v>
      </c>
    </row>
    <row r="23" spans="1:2" x14ac:dyDescent="0.25">
      <c r="A23" s="4" t="s">
        <v>880</v>
      </c>
      <c r="B23" s="34">
        <v>15</v>
      </c>
    </row>
    <row r="24" spans="1:2" x14ac:dyDescent="0.25">
      <c r="A24" s="4" t="s">
        <v>328</v>
      </c>
      <c r="B24" s="34">
        <v>13.2</v>
      </c>
    </row>
    <row r="25" spans="1:2" x14ac:dyDescent="0.25">
      <c r="A25" s="4" t="s">
        <v>980</v>
      </c>
      <c r="B25" s="34">
        <v>11.8</v>
      </c>
    </row>
    <row r="26" spans="1:2" x14ac:dyDescent="0.25">
      <c r="A26" s="4" t="s">
        <v>32</v>
      </c>
      <c r="B26" s="34">
        <v>3.8000000000000003</v>
      </c>
    </row>
    <row r="27" spans="1:2" x14ac:dyDescent="0.25">
      <c r="A27" s="4" t="s">
        <v>988</v>
      </c>
      <c r="B27" s="34">
        <v>21603.280000000017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26"/>
  <sheetViews>
    <sheetView workbookViewId="0">
      <selection activeCell="B7" sqref="B7"/>
    </sheetView>
  </sheetViews>
  <sheetFormatPr defaultRowHeight="15" x14ac:dyDescent="0.25"/>
  <cols>
    <col min="1" max="1" width="42.85546875" customWidth="1"/>
    <col min="2" max="2" width="15.5703125" bestFit="1" customWidth="1"/>
  </cols>
  <sheetData>
    <row r="3" spans="1:2" x14ac:dyDescent="0.25">
      <c r="A3" s="33" t="s">
        <v>987</v>
      </c>
      <c r="B3" t="s">
        <v>989</v>
      </c>
    </row>
    <row r="4" spans="1:2" x14ac:dyDescent="0.25">
      <c r="A4" s="4" t="s">
        <v>112</v>
      </c>
      <c r="B4" s="34">
        <v>993.59999999999991</v>
      </c>
    </row>
    <row r="5" spans="1:2" x14ac:dyDescent="0.25">
      <c r="A5" s="4" t="s">
        <v>163</v>
      </c>
      <c r="B5" s="34">
        <v>976.32</v>
      </c>
    </row>
    <row r="6" spans="1:2" x14ac:dyDescent="0.25">
      <c r="A6" s="4" t="s">
        <v>169</v>
      </c>
      <c r="B6" s="34">
        <v>573.91999999999996</v>
      </c>
    </row>
    <row r="7" spans="1:2" x14ac:dyDescent="0.25">
      <c r="A7" s="4" t="s">
        <v>745</v>
      </c>
      <c r="B7" s="34">
        <v>397.8</v>
      </c>
    </row>
    <row r="8" spans="1:2" x14ac:dyDescent="0.25">
      <c r="A8" s="4" t="s">
        <v>206</v>
      </c>
      <c r="B8" s="34">
        <v>388.5</v>
      </c>
    </row>
    <row r="9" spans="1:2" x14ac:dyDescent="0.25">
      <c r="A9" s="4" t="s">
        <v>54</v>
      </c>
      <c r="B9" s="34">
        <v>362.45</v>
      </c>
    </row>
    <row r="10" spans="1:2" x14ac:dyDescent="0.25">
      <c r="A10" s="4" t="s">
        <v>14</v>
      </c>
      <c r="B10" s="34">
        <v>349.5</v>
      </c>
    </row>
    <row r="11" spans="1:2" x14ac:dyDescent="0.25">
      <c r="A11" s="4" t="s">
        <v>673</v>
      </c>
      <c r="B11" s="34">
        <v>324.48</v>
      </c>
    </row>
    <row r="12" spans="1:2" x14ac:dyDescent="0.25">
      <c r="A12" s="4" t="s">
        <v>115</v>
      </c>
      <c r="B12" s="34">
        <v>305.28000000000003</v>
      </c>
    </row>
    <row r="13" spans="1:2" x14ac:dyDescent="0.25">
      <c r="A13" s="4" t="s">
        <v>452</v>
      </c>
      <c r="B13" s="34">
        <v>244.79999999999998</v>
      </c>
    </row>
    <row r="14" spans="1:2" x14ac:dyDescent="0.25">
      <c r="A14" s="4" t="s">
        <v>154</v>
      </c>
      <c r="B14" s="34">
        <v>240.9</v>
      </c>
    </row>
    <row r="15" spans="1:2" x14ac:dyDescent="0.25">
      <c r="A15" s="4" t="s">
        <v>907</v>
      </c>
      <c r="B15" s="34">
        <v>204</v>
      </c>
    </row>
    <row r="16" spans="1:2" x14ac:dyDescent="0.25">
      <c r="A16" s="4" t="s">
        <v>442</v>
      </c>
      <c r="B16" s="34">
        <v>204</v>
      </c>
    </row>
    <row r="17" spans="1:2" x14ac:dyDescent="0.25">
      <c r="A17" s="4" t="s">
        <v>487</v>
      </c>
      <c r="B17" s="34">
        <v>201.3</v>
      </c>
    </row>
    <row r="18" spans="1:2" x14ac:dyDescent="0.25">
      <c r="A18" s="4" t="s">
        <v>25</v>
      </c>
      <c r="B18" s="34">
        <v>191.25</v>
      </c>
    </row>
    <row r="19" spans="1:2" x14ac:dyDescent="0.25">
      <c r="A19" s="4" t="s">
        <v>524</v>
      </c>
      <c r="B19" s="34">
        <v>187</v>
      </c>
    </row>
    <row r="20" spans="1:2" x14ac:dyDescent="0.25">
      <c r="A20" s="4" t="s">
        <v>458</v>
      </c>
      <c r="B20" s="34">
        <v>184.5</v>
      </c>
    </row>
    <row r="21" spans="1:2" x14ac:dyDescent="0.25">
      <c r="A21" s="4" t="s">
        <v>135</v>
      </c>
      <c r="B21" s="34">
        <v>173.25</v>
      </c>
    </row>
    <row r="22" spans="1:2" x14ac:dyDescent="0.25">
      <c r="A22" s="4" t="s">
        <v>792</v>
      </c>
      <c r="B22" s="34">
        <v>169</v>
      </c>
    </row>
    <row r="23" spans="1:2" x14ac:dyDescent="0.25">
      <c r="A23" s="4" t="s">
        <v>800</v>
      </c>
      <c r="B23" s="34">
        <v>166.8</v>
      </c>
    </row>
    <row r="24" spans="1:2" x14ac:dyDescent="0.25">
      <c r="A24" s="4" t="s">
        <v>369</v>
      </c>
      <c r="B24" s="34">
        <v>165</v>
      </c>
    </row>
    <row r="25" spans="1:2" x14ac:dyDescent="0.25">
      <c r="A25" s="4" t="s">
        <v>346</v>
      </c>
      <c r="B25" s="34">
        <v>155.14000000000001</v>
      </c>
    </row>
    <row r="26" spans="1:2" x14ac:dyDescent="0.25">
      <c r="A26" s="4" t="s">
        <v>515</v>
      </c>
      <c r="B26" s="34">
        <v>139.80000000000001</v>
      </c>
    </row>
    <row r="27" spans="1:2" x14ac:dyDescent="0.25">
      <c r="A27" s="4" t="s">
        <v>853</v>
      </c>
      <c r="B27" s="34">
        <v>139.19999999999999</v>
      </c>
    </row>
    <row r="28" spans="1:2" x14ac:dyDescent="0.25">
      <c r="A28" s="4" t="s">
        <v>570</v>
      </c>
      <c r="B28" s="34">
        <v>139.19999999999999</v>
      </c>
    </row>
    <row r="29" spans="1:2" x14ac:dyDescent="0.25">
      <c r="A29" s="4" t="s">
        <v>478</v>
      </c>
      <c r="B29" s="34">
        <v>138.30000000000001</v>
      </c>
    </row>
    <row r="30" spans="1:2" x14ac:dyDescent="0.25">
      <c r="A30" s="4" t="s">
        <v>970</v>
      </c>
      <c r="B30" s="34">
        <v>138.24</v>
      </c>
    </row>
    <row r="31" spans="1:2" x14ac:dyDescent="0.25">
      <c r="A31" s="4" t="s">
        <v>143</v>
      </c>
      <c r="B31" s="34">
        <v>136.89000000000001</v>
      </c>
    </row>
    <row r="32" spans="1:2" x14ac:dyDescent="0.25">
      <c r="A32" s="4" t="s">
        <v>137</v>
      </c>
      <c r="B32" s="34">
        <v>132.6</v>
      </c>
    </row>
    <row r="33" spans="1:2" x14ac:dyDescent="0.25">
      <c r="A33" s="4" t="s">
        <v>39</v>
      </c>
      <c r="B33" s="34">
        <v>130.80000000000001</v>
      </c>
    </row>
    <row r="34" spans="1:2" x14ac:dyDescent="0.25">
      <c r="A34" s="4" t="s">
        <v>55</v>
      </c>
      <c r="B34" s="34">
        <v>130.19999999999999</v>
      </c>
    </row>
    <row r="35" spans="1:2" x14ac:dyDescent="0.25">
      <c r="A35" s="4" t="s">
        <v>499</v>
      </c>
      <c r="B35" s="34">
        <v>127.5</v>
      </c>
    </row>
    <row r="36" spans="1:2" x14ac:dyDescent="0.25">
      <c r="A36" s="4" t="s">
        <v>313</v>
      </c>
      <c r="B36" s="34">
        <v>127.49999999999999</v>
      </c>
    </row>
    <row r="37" spans="1:2" x14ac:dyDescent="0.25">
      <c r="A37" s="4" t="s">
        <v>479</v>
      </c>
      <c r="B37" s="34">
        <v>127.2</v>
      </c>
    </row>
    <row r="38" spans="1:2" x14ac:dyDescent="0.25">
      <c r="A38" s="4" t="s">
        <v>164</v>
      </c>
      <c r="B38" s="34">
        <v>125.6</v>
      </c>
    </row>
    <row r="39" spans="1:2" x14ac:dyDescent="0.25">
      <c r="A39" s="4" t="s">
        <v>118</v>
      </c>
      <c r="B39" s="34">
        <v>120.30000000000001</v>
      </c>
    </row>
    <row r="40" spans="1:2" x14ac:dyDescent="0.25">
      <c r="A40" s="4" t="s">
        <v>344</v>
      </c>
      <c r="B40" s="34">
        <v>119</v>
      </c>
    </row>
    <row r="41" spans="1:2" x14ac:dyDescent="0.25">
      <c r="A41" s="4" t="s">
        <v>297</v>
      </c>
      <c r="B41" s="34">
        <v>115.2</v>
      </c>
    </row>
    <row r="42" spans="1:2" x14ac:dyDescent="0.25">
      <c r="A42" s="4" t="s">
        <v>20</v>
      </c>
      <c r="B42" s="34">
        <v>107.9</v>
      </c>
    </row>
    <row r="43" spans="1:2" x14ac:dyDescent="0.25">
      <c r="A43" s="4" t="s">
        <v>278</v>
      </c>
      <c r="B43" s="34">
        <v>103.35</v>
      </c>
    </row>
    <row r="44" spans="1:2" x14ac:dyDescent="0.25">
      <c r="A44" s="4" t="s">
        <v>845</v>
      </c>
      <c r="B44" s="34">
        <v>102</v>
      </c>
    </row>
    <row r="45" spans="1:2" x14ac:dyDescent="0.25">
      <c r="A45" s="4" t="s">
        <v>626</v>
      </c>
      <c r="B45" s="34">
        <v>99.5</v>
      </c>
    </row>
    <row r="46" spans="1:2" x14ac:dyDescent="0.25">
      <c r="A46" s="4" t="s">
        <v>434</v>
      </c>
      <c r="B46" s="34">
        <v>97.5</v>
      </c>
    </row>
    <row r="47" spans="1:2" x14ac:dyDescent="0.25">
      <c r="A47" s="4" t="s">
        <v>221</v>
      </c>
      <c r="B47" s="34">
        <v>93.600000000000009</v>
      </c>
    </row>
    <row r="48" spans="1:2" x14ac:dyDescent="0.25">
      <c r="A48" s="4" t="s">
        <v>240</v>
      </c>
      <c r="B48" s="34">
        <v>91.2</v>
      </c>
    </row>
    <row r="49" spans="1:2" x14ac:dyDescent="0.25">
      <c r="A49" s="4" t="s">
        <v>447</v>
      </c>
      <c r="B49" s="34">
        <v>90</v>
      </c>
    </row>
    <row r="50" spans="1:2" x14ac:dyDescent="0.25">
      <c r="A50" s="4" t="s">
        <v>244</v>
      </c>
      <c r="B50" s="34">
        <v>88.800000000000011</v>
      </c>
    </row>
    <row r="51" spans="1:2" x14ac:dyDescent="0.25">
      <c r="A51" s="4" t="s">
        <v>288</v>
      </c>
      <c r="B51" s="34">
        <v>86</v>
      </c>
    </row>
    <row r="52" spans="1:2" x14ac:dyDescent="0.25">
      <c r="A52" s="4" t="s">
        <v>501</v>
      </c>
      <c r="B52" s="34">
        <v>85</v>
      </c>
    </row>
    <row r="53" spans="1:2" x14ac:dyDescent="0.25">
      <c r="A53" s="4" t="s">
        <v>103</v>
      </c>
      <c r="B53" s="34">
        <v>82.05</v>
      </c>
    </row>
    <row r="54" spans="1:2" x14ac:dyDescent="0.25">
      <c r="A54" s="4" t="s">
        <v>268</v>
      </c>
      <c r="B54" s="34">
        <v>81.900000000000006</v>
      </c>
    </row>
    <row r="55" spans="1:2" x14ac:dyDescent="0.25">
      <c r="A55" s="4" t="s">
        <v>866</v>
      </c>
      <c r="B55" s="34">
        <v>79.199999999999989</v>
      </c>
    </row>
    <row r="56" spans="1:2" x14ac:dyDescent="0.25">
      <c r="A56" s="4" t="s">
        <v>78</v>
      </c>
      <c r="B56" s="34">
        <v>78.649999999999991</v>
      </c>
    </row>
    <row r="57" spans="1:2" x14ac:dyDescent="0.25">
      <c r="A57" s="4" t="s">
        <v>253</v>
      </c>
      <c r="B57" s="34">
        <v>76.649999999999991</v>
      </c>
    </row>
    <row r="58" spans="1:2" x14ac:dyDescent="0.25">
      <c r="A58" s="4" t="s">
        <v>498</v>
      </c>
      <c r="B58" s="34">
        <v>75.600000000000009</v>
      </c>
    </row>
    <row r="59" spans="1:2" x14ac:dyDescent="0.25">
      <c r="A59" s="4" t="s">
        <v>193</v>
      </c>
      <c r="B59" s="34">
        <v>75</v>
      </c>
    </row>
    <row r="60" spans="1:2" x14ac:dyDescent="0.25">
      <c r="A60" s="4" t="s">
        <v>538</v>
      </c>
      <c r="B60" s="34">
        <v>73.750000000000014</v>
      </c>
    </row>
    <row r="61" spans="1:2" x14ac:dyDescent="0.25">
      <c r="A61" s="4" t="s">
        <v>416</v>
      </c>
      <c r="B61" s="34">
        <v>70.97999999999999</v>
      </c>
    </row>
    <row r="62" spans="1:2" x14ac:dyDescent="0.25">
      <c r="A62" s="4" t="s">
        <v>592</v>
      </c>
      <c r="B62" s="34">
        <v>67.5</v>
      </c>
    </row>
    <row r="63" spans="1:2" x14ac:dyDescent="0.25">
      <c r="A63" s="4" t="s">
        <v>653</v>
      </c>
      <c r="B63" s="34">
        <v>67.5</v>
      </c>
    </row>
    <row r="64" spans="1:2" x14ac:dyDescent="0.25">
      <c r="A64" s="4" t="s">
        <v>26</v>
      </c>
      <c r="B64" s="34">
        <v>66.600000000000009</v>
      </c>
    </row>
    <row r="65" spans="1:2" x14ac:dyDescent="0.25">
      <c r="A65" s="4" t="s">
        <v>360</v>
      </c>
      <c r="B65" s="34">
        <v>65.45</v>
      </c>
    </row>
    <row r="66" spans="1:2" x14ac:dyDescent="0.25">
      <c r="A66" s="4" t="s">
        <v>581</v>
      </c>
      <c r="B66" s="34">
        <v>65</v>
      </c>
    </row>
    <row r="67" spans="1:2" x14ac:dyDescent="0.25">
      <c r="A67" s="4" t="s">
        <v>178</v>
      </c>
      <c r="B67" s="34">
        <v>64.349999999999994</v>
      </c>
    </row>
    <row r="68" spans="1:2" x14ac:dyDescent="0.25">
      <c r="A68" s="4" t="s">
        <v>741</v>
      </c>
      <c r="B68" s="34">
        <v>62.4</v>
      </c>
    </row>
    <row r="69" spans="1:2" x14ac:dyDescent="0.25">
      <c r="A69" s="4" t="s">
        <v>200</v>
      </c>
      <c r="B69" s="34">
        <v>61.760000000000005</v>
      </c>
    </row>
    <row r="70" spans="1:2" x14ac:dyDescent="0.25">
      <c r="A70" s="4" t="s">
        <v>573</v>
      </c>
      <c r="B70" s="34">
        <v>61.199999999999996</v>
      </c>
    </row>
    <row r="71" spans="1:2" x14ac:dyDescent="0.25">
      <c r="A71" s="4" t="s">
        <v>96</v>
      </c>
      <c r="B71" s="34">
        <v>61.04999999999999</v>
      </c>
    </row>
    <row r="72" spans="1:2" x14ac:dyDescent="0.25">
      <c r="A72" s="4" t="s">
        <v>345</v>
      </c>
      <c r="B72" s="34">
        <v>60</v>
      </c>
    </row>
    <row r="73" spans="1:2" x14ac:dyDescent="0.25">
      <c r="A73" s="4" t="s">
        <v>294</v>
      </c>
      <c r="B73" s="34">
        <v>59.699999999999996</v>
      </c>
    </row>
    <row r="74" spans="1:2" x14ac:dyDescent="0.25">
      <c r="A74" s="4" t="s">
        <v>489</v>
      </c>
      <c r="B74" s="34">
        <v>59.5</v>
      </c>
    </row>
    <row r="75" spans="1:2" x14ac:dyDescent="0.25">
      <c r="A75" s="4" t="s">
        <v>151</v>
      </c>
      <c r="B75" s="34">
        <v>59.4</v>
      </c>
    </row>
    <row r="76" spans="1:2" x14ac:dyDescent="0.25">
      <c r="A76" s="4" t="s">
        <v>196</v>
      </c>
      <c r="B76" s="34">
        <v>59.399999999999991</v>
      </c>
    </row>
    <row r="77" spans="1:2" x14ac:dyDescent="0.25">
      <c r="A77" s="4" t="s">
        <v>259</v>
      </c>
      <c r="B77" s="34">
        <v>57.749999999999993</v>
      </c>
    </row>
    <row r="78" spans="1:2" x14ac:dyDescent="0.25">
      <c r="A78" s="4" t="s">
        <v>374</v>
      </c>
      <c r="B78" s="34">
        <v>57.149999999999991</v>
      </c>
    </row>
    <row r="79" spans="1:2" x14ac:dyDescent="0.25">
      <c r="A79" s="4" t="s">
        <v>784</v>
      </c>
      <c r="B79" s="34">
        <v>54.6</v>
      </c>
    </row>
    <row r="80" spans="1:2" x14ac:dyDescent="0.25">
      <c r="A80" s="4" t="s">
        <v>187</v>
      </c>
      <c r="B80" s="34">
        <v>54.6</v>
      </c>
    </row>
    <row r="81" spans="1:2" x14ac:dyDescent="0.25">
      <c r="A81" s="4" t="s">
        <v>89</v>
      </c>
      <c r="B81" s="34">
        <v>54.45</v>
      </c>
    </row>
    <row r="82" spans="1:2" x14ac:dyDescent="0.25">
      <c r="A82" s="4" t="s">
        <v>102</v>
      </c>
      <c r="B82" s="34">
        <v>53.100000000000009</v>
      </c>
    </row>
    <row r="83" spans="1:2" x14ac:dyDescent="0.25">
      <c r="A83" s="4" t="s">
        <v>168</v>
      </c>
      <c r="B83" s="34">
        <v>52.5</v>
      </c>
    </row>
    <row r="84" spans="1:2" x14ac:dyDescent="0.25">
      <c r="A84" s="4" t="s">
        <v>24</v>
      </c>
      <c r="B84" s="34">
        <v>52.5</v>
      </c>
    </row>
    <row r="85" spans="1:2" x14ac:dyDescent="0.25">
      <c r="A85" s="4" t="s">
        <v>397</v>
      </c>
      <c r="B85" s="34">
        <v>52.199999999999996</v>
      </c>
    </row>
    <row r="86" spans="1:2" x14ac:dyDescent="0.25">
      <c r="A86" s="4" t="s">
        <v>849</v>
      </c>
      <c r="B86" s="34">
        <v>51</v>
      </c>
    </row>
    <row r="87" spans="1:2" x14ac:dyDescent="0.25">
      <c r="A87" s="4" t="s">
        <v>80</v>
      </c>
      <c r="B87" s="34">
        <v>51</v>
      </c>
    </row>
    <row r="88" spans="1:2" x14ac:dyDescent="0.25">
      <c r="A88" s="4" t="s">
        <v>630</v>
      </c>
      <c r="B88" s="34">
        <v>50.95</v>
      </c>
    </row>
    <row r="89" spans="1:2" x14ac:dyDescent="0.25">
      <c r="A89" s="4" t="s">
        <v>507</v>
      </c>
      <c r="B89" s="34">
        <v>50.849999999999994</v>
      </c>
    </row>
    <row r="90" spans="1:2" x14ac:dyDescent="0.25">
      <c r="A90" s="4" t="s">
        <v>426</v>
      </c>
      <c r="B90" s="34">
        <v>50.400000000000006</v>
      </c>
    </row>
    <row r="91" spans="1:2" x14ac:dyDescent="0.25">
      <c r="A91" s="4" t="s">
        <v>878</v>
      </c>
      <c r="B91" s="34">
        <v>50</v>
      </c>
    </row>
    <row r="92" spans="1:2" x14ac:dyDescent="0.25">
      <c r="A92" s="4" t="s">
        <v>234</v>
      </c>
      <c r="B92" s="34">
        <v>49.95</v>
      </c>
    </row>
    <row r="93" spans="1:2" x14ac:dyDescent="0.25">
      <c r="A93" s="4" t="s">
        <v>473</v>
      </c>
      <c r="B93" s="34">
        <v>49.75</v>
      </c>
    </row>
    <row r="94" spans="1:2" x14ac:dyDescent="0.25">
      <c r="A94" s="4" t="s">
        <v>752</v>
      </c>
      <c r="B94" s="34">
        <v>48.75</v>
      </c>
    </row>
    <row r="95" spans="1:2" x14ac:dyDescent="0.25">
      <c r="A95" s="4" t="s">
        <v>347</v>
      </c>
      <c r="B95" s="34">
        <v>48.75</v>
      </c>
    </row>
    <row r="96" spans="1:2" x14ac:dyDescent="0.25">
      <c r="A96" s="4" t="s">
        <v>146</v>
      </c>
      <c r="B96" s="34">
        <v>48.75</v>
      </c>
    </row>
    <row r="97" spans="1:2" x14ac:dyDescent="0.25">
      <c r="A97" s="4" t="s">
        <v>149</v>
      </c>
      <c r="B97" s="34">
        <v>48.75</v>
      </c>
    </row>
    <row r="98" spans="1:2" x14ac:dyDescent="0.25">
      <c r="A98" s="4" t="s">
        <v>421</v>
      </c>
      <c r="B98" s="34">
        <v>48.300000000000004</v>
      </c>
    </row>
    <row r="99" spans="1:2" x14ac:dyDescent="0.25">
      <c r="A99" s="4" t="s">
        <v>864</v>
      </c>
      <c r="B99" s="34">
        <v>47.7</v>
      </c>
    </row>
    <row r="100" spans="1:2" x14ac:dyDescent="0.25">
      <c r="A100" s="4" t="s">
        <v>351</v>
      </c>
      <c r="B100" s="34">
        <v>47.2</v>
      </c>
    </row>
    <row r="101" spans="1:2" x14ac:dyDescent="0.25">
      <c r="A101" s="4" t="s">
        <v>299</v>
      </c>
      <c r="B101" s="34">
        <v>47.2</v>
      </c>
    </row>
    <row r="102" spans="1:2" x14ac:dyDescent="0.25">
      <c r="A102" s="4" t="s">
        <v>296</v>
      </c>
      <c r="B102" s="34">
        <v>46.8</v>
      </c>
    </row>
    <row r="103" spans="1:2" x14ac:dyDescent="0.25">
      <c r="A103" s="4" t="s">
        <v>512</v>
      </c>
      <c r="B103" s="34">
        <v>45</v>
      </c>
    </row>
    <row r="104" spans="1:2" x14ac:dyDescent="0.25">
      <c r="A104" s="4" t="s">
        <v>15</v>
      </c>
      <c r="B104" s="34">
        <v>45</v>
      </c>
    </row>
    <row r="105" spans="1:2" x14ac:dyDescent="0.25">
      <c r="A105" s="4" t="s">
        <v>183</v>
      </c>
      <c r="B105" s="34">
        <v>44.94</v>
      </c>
    </row>
    <row r="106" spans="1:2" x14ac:dyDescent="0.25">
      <c r="A106" s="4" t="s">
        <v>199</v>
      </c>
      <c r="B106" s="34">
        <v>44.550000000000004</v>
      </c>
    </row>
    <row r="107" spans="1:2" x14ac:dyDescent="0.25">
      <c r="A107" s="4" t="s">
        <v>493</v>
      </c>
      <c r="B107" s="34">
        <v>42.5</v>
      </c>
    </row>
    <row r="108" spans="1:2" x14ac:dyDescent="0.25">
      <c r="A108" s="4" t="s">
        <v>418</v>
      </c>
      <c r="B108" s="34">
        <v>42.5</v>
      </c>
    </row>
    <row r="109" spans="1:2" x14ac:dyDescent="0.25">
      <c r="A109" s="4" t="s">
        <v>81</v>
      </c>
      <c r="B109" s="34">
        <v>42</v>
      </c>
    </row>
    <row r="110" spans="1:2" x14ac:dyDescent="0.25">
      <c r="A110" s="4" t="s">
        <v>155</v>
      </c>
      <c r="B110" s="34">
        <v>40.799999999999997</v>
      </c>
    </row>
    <row r="111" spans="1:2" x14ac:dyDescent="0.25">
      <c r="A111" s="4" t="s">
        <v>184</v>
      </c>
      <c r="B111" s="34">
        <v>40.799999999999997</v>
      </c>
    </row>
    <row r="112" spans="1:2" x14ac:dyDescent="0.25">
      <c r="A112" s="4" t="s">
        <v>578</v>
      </c>
      <c r="B112" s="34">
        <v>40.799999999999997</v>
      </c>
    </row>
    <row r="113" spans="1:2" x14ac:dyDescent="0.25">
      <c r="A113" s="4" t="s">
        <v>615</v>
      </c>
      <c r="B113" s="34">
        <v>40.56</v>
      </c>
    </row>
    <row r="114" spans="1:2" x14ac:dyDescent="0.25">
      <c r="A114" s="4" t="s">
        <v>645</v>
      </c>
      <c r="B114" s="34">
        <v>40.5</v>
      </c>
    </row>
    <row r="115" spans="1:2" x14ac:dyDescent="0.25">
      <c r="A115" s="4" t="s">
        <v>283</v>
      </c>
      <c r="B115" s="34">
        <v>40.32</v>
      </c>
    </row>
    <row r="116" spans="1:2" x14ac:dyDescent="0.25">
      <c r="A116" s="4" t="s">
        <v>943</v>
      </c>
      <c r="B116" s="34">
        <v>39.9</v>
      </c>
    </row>
    <row r="117" spans="1:2" x14ac:dyDescent="0.25">
      <c r="A117" s="4" t="s">
        <v>453</v>
      </c>
      <c r="B117" s="34">
        <v>39.9</v>
      </c>
    </row>
    <row r="118" spans="1:2" x14ac:dyDescent="0.25">
      <c r="A118" s="4" t="s">
        <v>364</v>
      </c>
      <c r="B118" s="34">
        <v>39.799999999999997</v>
      </c>
    </row>
    <row r="119" spans="1:2" x14ac:dyDescent="0.25">
      <c r="A119" s="4" t="s">
        <v>67</v>
      </c>
      <c r="B119" s="34">
        <v>39</v>
      </c>
    </row>
    <row r="120" spans="1:2" x14ac:dyDescent="0.25">
      <c r="A120" s="4" t="s">
        <v>595</v>
      </c>
      <c r="B120" s="34">
        <v>39</v>
      </c>
    </row>
    <row r="121" spans="1:2" x14ac:dyDescent="0.25">
      <c r="A121" s="4" t="s">
        <v>58</v>
      </c>
      <c r="B121" s="34">
        <v>39</v>
      </c>
    </row>
    <row r="122" spans="1:2" x14ac:dyDescent="0.25">
      <c r="A122" s="4" t="s">
        <v>471</v>
      </c>
      <c r="B122" s="34">
        <v>39</v>
      </c>
    </row>
    <row r="123" spans="1:2" x14ac:dyDescent="0.25">
      <c r="A123" s="4" t="s">
        <v>311</v>
      </c>
      <c r="B123" s="34">
        <v>38.35</v>
      </c>
    </row>
    <row r="124" spans="1:2" x14ac:dyDescent="0.25">
      <c r="A124" s="4" t="s">
        <v>525</v>
      </c>
      <c r="B124" s="34">
        <v>38.25</v>
      </c>
    </row>
    <row r="125" spans="1:2" x14ac:dyDescent="0.25">
      <c r="A125" s="4" t="s">
        <v>641</v>
      </c>
      <c r="B125" s="34">
        <v>38.200000000000003</v>
      </c>
    </row>
    <row r="126" spans="1:2" x14ac:dyDescent="0.25">
      <c r="A126" s="4" t="s">
        <v>336</v>
      </c>
      <c r="B126" s="34">
        <v>38.099999999999994</v>
      </c>
    </row>
    <row r="127" spans="1:2" x14ac:dyDescent="0.25">
      <c r="A127" s="4" t="s">
        <v>429</v>
      </c>
      <c r="B127" s="34">
        <v>37.800000000000004</v>
      </c>
    </row>
    <row r="128" spans="1:2" x14ac:dyDescent="0.25">
      <c r="A128" s="4" t="s">
        <v>222</v>
      </c>
      <c r="B128" s="34">
        <v>37.25</v>
      </c>
    </row>
    <row r="129" spans="1:2" x14ac:dyDescent="0.25">
      <c r="A129" s="4" t="s">
        <v>787</v>
      </c>
      <c r="B129" s="34">
        <v>36</v>
      </c>
    </row>
    <row r="130" spans="1:2" x14ac:dyDescent="0.25">
      <c r="A130" s="4" t="s">
        <v>847</v>
      </c>
      <c r="B130" s="34">
        <v>35.799999999999997</v>
      </c>
    </row>
    <row r="131" spans="1:2" x14ac:dyDescent="0.25">
      <c r="A131" s="4" t="s">
        <v>419</v>
      </c>
      <c r="B131" s="34">
        <v>35.799999999999997</v>
      </c>
    </row>
    <row r="132" spans="1:2" x14ac:dyDescent="0.25">
      <c r="A132" s="4" t="s">
        <v>600</v>
      </c>
      <c r="B132" s="34">
        <v>35.700000000000003</v>
      </c>
    </row>
    <row r="133" spans="1:2" x14ac:dyDescent="0.25">
      <c r="A133" s="4" t="s">
        <v>905</v>
      </c>
      <c r="B133" s="34">
        <v>35.700000000000003</v>
      </c>
    </row>
    <row r="134" spans="1:2" x14ac:dyDescent="0.25">
      <c r="A134" s="4" t="s">
        <v>813</v>
      </c>
      <c r="B134" s="34">
        <v>35.400000000000006</v>
      </c>
    </row>
    <row r="135" spans="1:2" x14ac:dyDescent="0.25">
      <c r="A135" s="4" t="s">
        <v>36</v>
      </c>
      <c r="B135" s="34">
        <v>35.400000000000006</v>
      </c>
    </row>
    <row r="136" spans="1:2" x14ac:dyDescent="0.25">
      <c r="A136" s="4" t="s">
        <v>948</v>
      </c>
      <c r="B136" s="34">
        <v>35.400000000000006</v>
      </c>
    </row>
    <row r="137" spans="1:2" x14ac:dyDescent="0.25">
      <c r="A137" s="4" t="s">
        <v>650</v>
      </c>
      <c r="B137" s="34">
        <v>35.400000000000006</v>
      </c>
    </row>
    <row r="138" spans="1:2" x14ac:dyDescent="0.25">
      <c r="A138" s="4" t="s">
        <v>88</v>
      </c>
      <c r="B138" s="34">
        <v>35.1</v>
      </c>
    </row>
    <row r="139" spans="1:2" x14ac:dyDescent="0.25">
      <c r="A139" s="4" t="s">
        <v>496</v>
      </c>
      <c r="B139" s="34">
        <v>34.799999999999997</v>
      </c>
    </row>
    <row r="140" spans="1:2" x14ac:dyDescent="0.25">
      <c r="A140" s="4" t="s">
        <v>461</v>
      </c>
      <c r="B140" s="34">
        <v>34.799999999999997</v>
      </c>
    </row>
    <row r="141" spans="1:2" x14ac:dyDescent="0.25">
      <c r="A141" s="4" t="s">
        <v>661</v>
      </c>
      <c r="B141" s="34">
        <v>34.65</v>
      </c>
    </row>
    <row r="142" spans="1:2" x14ac:dyDescent="0.25">
      <c r="A142" s="4" t="s">
        <v>79</v>
      </c>
      <c r="B142" s="34">
        <v>34</v>
      </c>
    </row>
    <row r="143" spans="1:2" x14ac:dyDescent="0.25">
      <c r="A143" s="4" t="s">
        <v>662</v>
      </c>
      <c r="B143" s="34">
        <v>33.849999999999994</v>
      </c>
    </row>
    <row r="144" spans="1:2" x14ac:dyDescent="0.25">
      <c r="A144" s="4" t="s">
        <v>793</v>
      </c>
      <c r="B144" s="34">
        <v>33.75</v>
      </c>
    </row>
    <row r="145" spans="1:2" x14ac:dyDescent="0.25">
      <c r="A145" s="4" t="s">
        <v>474</v>
      </c>
      <c r="B145" s="34">
        <v>33</v>
      </c>
    </row>
    <row r="146" spans="1:2" x14ac:dyDescent="0.25">
      <c r="A146" s="4" t="s">
        <v>84</v>
      </c>
      <c r="B146" s="34">
        <v>32.75</v>
      </c>
    </row>
    <row r="147" spans="1:2" x14ac:dyDescent="0.25">
      <c r="A147" s="4" t="s">
        <v>543</v>
      </c>
      <c r="B147" s="34">
        <v>31.8</v>
      </c>
    </row>
    <row r="148" spans="1:2" x14ac:dyDescent="0.25">
      <c r="A148" s="4" t="s">
        <v>134</v>
      </c>
      <c r="B148" s="34">
        <v>31.8</v>
      </c>
    </row>
    <row r="149" spans="1:2" x14ac:dyDescent="0.25">
      <c r="A149" s="4" t="s">
        <v>760</v>
      </c>
      <c r="B149" s="34">
        <v>31.8</v>
      </c>
    </row>
    <row r="150" spans="1:2" x14ac:dyDescent="0.25">
      <c r="A150" s="4" t="s">
        <v>505</v>
      </c>
      <c r="B150" s="34">
        <v>31.6</v>
      </c>
    </row>
    <row r="151" spans="1:2" x14ac:dyDescent="0.25">
      <c r="A151" s="4" t="s">
        <v>822</v>
      </c>
      <c r="B151" s="34">
        <v>30.599999999999998</v>
      </c>
    </row>
    <row r="152" spans="1:2" x14ac:dyDescent="0.25">
      <c r="A152" s="4" t="s">
        <v>942</v>
      </c>
      <c r="B152" s="34">
        <v>30.599999999999998</v>
      </c>
    </row>
    <row r="153" spans="1:2" x14ac:dyDescent="0.25">
      <c r="A153" s="4" t="s">
        <v>191</v>
      </c>
      <c r="B153" s="34">
        <v>30.599999999999998</v>
      </c>
    </row>
    <row r="154" spans="1:2" x14ac:dyDescent="0.25">
      <c r="A154" s="4" t="s">
        <v>239</v>
      </c>
      <c r="B154" s="34">
        <v>30.599999999999998</v>
      </c>
    </row>
    <row r="155" spans="1:2" x14ac:dyDescent="0.25">
      <c r="A155" s="4" t="s">
        <v>488</v>
      </c>
      <c r="B155" s="34">
        <v>30.599999999999998</v>
      </c>
    </row>
    <row r="156" spans="1:2" x14ac:dyDescent="0.25">
      <c r="A156" s="4" t="s">
        <v>413</v>
      </c>
      <c r="B156" s="34">
        <v>30.599999999999998</v>
      </c>
    </row>
    <row r="157" spans="1:2" x14ac:dyDescent="0.25">
      <c r="A157" s="4" t="s">
        <v>18</v>
      </c>
      <c r="B157" s="34">
        <v>30.599999999999998</v>
      </c>
    </row>
    <row r="158" spans="1:2" x14ac:dyDescent="0.25">
      <c r="A158" s="4" t="s">
        <v>173</v>
      </c>
      <c r="B158" s="34">
        <v>30.599999999999998</v>
      </c>
    </row>
    <row r="159" spans="1:2" x14ac:dyDescent="0.25">
      <c r="A159" s="4" t="s">
        <v>689</v>
      </c>
      <c r="B159" s="34">
        <v>30</v>
      </c>
    </row>
    <row r="160" spans="1:2" x14ac:dyDescent="0.25">
      <c r="A160" s="4" t="s">
        <v>952</v>
      </c>
      <c r="B160" s="34">
        <v>30</v>
      </c>
    </row>
    <row r="161" spans="1:2" x14ac:dyDescent="0.25">
      <c r="A161" s="4" t="s">
        <v>316</v>
      </c>
      <c r="B161" s="34">
        <v>30</v>
      </c>
    </row>
    <row r="162" spans="1:2" x14ac:dyDescent="0.25">
      <c r="A162" s="4" t="s">
        <v>715</v>
      </c>
      <c r="B162" s="34">
        <v>30</v>
      </c>
    </row>
    <row r="163" spans="1:2" x14ac:dyDescent="0.25">
      <c r="A163" s="4" t="s">
        <v>736</v>
      </c>
      <c r="B163" s="34">
        <v>30</v>
      </c>
    </row>
    <row r="164" spans="1:2" x14ac:dyDescent="0.25">
      <c r="A164" s="4" t="s">
        <v>563</v>
      </c>
      <c r="B164" s="34">
        <v>30</v>
      </c>
    </row>
    <row r="165" spans="1:2" x14ac:dyDescent="0.25">
      <c r="A165" s="4" t="s">
        <v>922</v>
      </c>
      <c r="B165" s="34">
        <v>30</v>
      </c>
    </row>
    <row r="166" spans="1:2" x14ac:dyDescent="0.25">
      <c r="A166" s="4" t="s">
        <v>86</v>
      </c>
      <c r="B166" s="34">
        <v>30</v>
      </c>
    </row>
    <row r="167" spans="1:2" x14ac:dyDescent="0.25">
      <c r="A167" s="4" t="s">
        <v>51</v>
      </c>
      <c r="B167" s="34">
        <v>30</v>
      </c>
    </row>
    <row r="168" spans="1:2" x14ac:dyDescent="0.25">
      <c r="A168" s="4" t="s">
        <v>72</v>
      </c>
      <c r="B168" s="34">
        <v>30</v>
      </c>
    </row>
    <row r="169" spans="1:2" x14ac:dyDescent="0.25">
      <c r="A169" s="4" t="s">
        <v>631</v>
      </c>
      <c r="B169" s="34">
        <v>30</v>
      </c>
    </row>
    <row r="170" spans="1:2" x14ac:dyDescent="0.25">
      <c r="A170" s="4" t="s">
        <v>865</v>
      </c>
      <c r="B170" s="34">
        <v>30</v>
      </c>
    </row>
    <row r="171" spans="1:2" x14ac:dyDescent="0.25">
      <c r="A171" s="4" t="s">
        <v>409</v>
      </c>
      <c r="B171" s="34">
        <v>30</v>
      </c>
    </row>
    <row r="172" spans="1:2" x14ac:dyDescent="0.25">
      <c r="A172" s="4" t="s">
        <v>550</v>
      </c>
      <c r="B172" s="34">
        <v>30</v>
      </c>
    </row>
    <row r="173" spans="1:2" x14ac:dyDescent="0.25">
      <c r="A173" s="4" t="s">
        <v>124</v>
      </c>
      <c r="B173" s="34">
        <v>30</v>
      </c>
    </row>
    <row r="174" spans="1:2" x14ac:dyDescent="0.25">
      <c r="A174" s="4" t="s">
        <v>441</v>
      </c>
      <c r="B174" s="34">
        <v>30</v>
      </c>
    </row>
    <row r="175" spans="1:2" x14ac:dyDescent="0.25">
      <c r="A175" s="4" t="s">
        <v>899</v>
      </c>
      <c r="B175" s="34">
        <v>30</v>
      </c>
    </row>
    <row r="176" spans="1:2" x14ac:dyDescent="0.25">
      <c r="A176" s="4" t="s">
        <v>280</v>
      </c>
      <c r="B176" s="34">
        <v>29.96</v>
      </c>
    </row>
    <row r="177" spans="1:2" x14ac:dyDescent="0.25">
      <c r="A177" s="4" t="s">
        <v>437</v>
      </c>
      <c r="B177" s="34">
        <v>29.700000000000003</v>
      </c>
    </row>
    <row r="178" spans="1:2" x14ac:dyDescent="0.25">
      <c r="A178" s="4" t="s">
        <v>744</v>
      </c>
      <c r="B178" s="34">
        <v>29.700000000000003</v>
      </c>
    </row>
    <row r="179" spans="1:2" x14ac:dyDescent="0.25">
      <c r="A179" s="4" t="s">
        <v>918</v>
      </c>
      <c r="B179" s="34">
        <v>29.700000000000003</v>
      </c>
    </row>
    <row r="180" spans="1:2" x14ac:dyDescent="0.25">
      <c r="A180" s="4" t="s">
        <v>215</v>
      </c>
      <c r="B180" s="34">
        <v>29.700000000000003</v>
      </c>
    </row>
    <row r="181" spans="1:2" x14ac:dyDescent="0.25">
      <c r="A181" s="4" t="s">
        <v>174</v>
      </c>
      <c r="B181" s="34">
        <v>29.700000000000003</v>
      </c>
    </row>
    <row r="182" spans="1:2" x14ac:dyDescent="0.25">
      <c r="A182" s="4" t="s">
        <v>233</v>
      </c>
      <c r="B182" s="34">
        <v>29.500000000000004</v>
      </c>
    </row>
    <row r="183" spans="1:2" x14ac:dyDescent="0.25">
      <c r="A183" s="4" t="s">
        <v>390</v>
      </c>
      <c r="B183" s="34">
        <v>29.500000000000004</v>
      </c>
    </row>
    <row r="184" spans="1:2" x14ac:dyDescent="0.25">
      <c r="A184" s="4" t="s">
        <v>10</v>
      </c>
      <c r="B184" s="34">
        <v>29.500000000000004</v>
      </c>
    </row>
    <row r="185" spans="1:2" x14ac:dyDescent="0.25">
      <c r="A185" s="4" t="s">
        <v>428</v>
      </c>
      <c r="B185" s="34">
        <v>29.400000000000002</v>
      </c>
    </row>
    <row r="186" spans="1:2" x14ac:dyDescent="0.25">
      <c r="A186" s="4" t="s">
        <v>202</v>
      </c>
      <c r="B186" s="34">
        <v>29.25</v>
      </c>
    </row>
    <row r="187" spans="1:2" x14ac:dyDescent="0.25">
      <c r="A187" s="4" t="s">
        <v>243</v>
      </c>
      <c r="B187" s="34">
        <v>27.5</v>
      </c>
    </row>
    <row r="188" spans="1:2" x14ac:dyDescent="0.25">
      <c r="A188" s="4" t="s">
        <v>497</v>
      </c>
      <c r="B188" s="34">
        <v>27.5</v>
      </c>
    </row>
    <row r="189" spans="1:2" x14ac:dyDescent="0.25">
      <c r="A189" s="4" t="s">
        <v>107</v>
      </c>
      <c r="B189" s="34">
        <v>27.5</v>
      </c>
    </row>
    <row r="190" spans="1:2" x14ac:dyDescent="0.25">
      <c r="A190" s="4" t="s">
        <v>365</v>
      </c>
      <c r="B190" s="34">
        <v>27.2</v>
      </c>
    </row>
    <row r="191" spans="1:2" x14ac:dyDescent="0.25">
      <c r="A191" s="4" t="s">
        <v>671</v>
      </c>
      <c r="B191" s="34">
        <v>27.12</v>
      </c>
    </row>
    <row r="192" spans="1:2" x14ac:dyDescent="0.25">
      <c r="A192" s="4" t="s">
        <v>956</v>
      </c>
      <c r="B192" s="34">
        <v>27.12</v>
      </c>
    </row>
    <row r="193" spans="1:2" x14ac:dyDescent="0.25">
      <c r="A193" s="4" t="s">
        <v>214</v>
      </c>
      <c r="B193" s="34">
        <v>27.04</v>
      </c>
    </row>
    <row r="194" spans="1:2" x14ac:dyDescent="0.25">
      <c r="A194" s="4" t="s">
        <v>977</v>
      </c>
      <c r="B194" s="34">
        <v>27.04</v>
      </c>
    </row>
    <row r="195" spans="1:2" x14ac:dyDescent="0.25">
      <c r="A195" s="4" t="s">
        <v>530</v>
      </c>
      <c r="B195" s="34">
        <v>27</v>
      </c>
    </row>
    <row r="196" spans="1:2" x14ac:dyDescent="0.25">
      <c r="A196" s="4" t="s">
        <v>628</v>
      </c>
      <c r="B196" s="34">
        <v>27</v>
      </c>
    </row>
    <row r="197" spans="1:2" x14ac:dyDescent="0.25">
      <c r="A197" s="4" t="s">
        <v>699</v>
      </c>
      <c r="B197" s="34">
        <v>26.550000000000004</v>
      </c>
    </row>
    <row r="198" spans="1:2" x14ac:dyDescent="0.25">
      <c r="A198" s="4" t="s">
        <v>125</v>
      </c>
      <c r="B198" s="34">
        <v>26.400000000000002</v>
      </c>
    </row>
    <row r="199" spans="1:2" x14ac:dyDescent="0.25">
      <c r="A199" s="4" t="s">
        <v>400</v>
      </c>
      <c r="B199" s="34">
        <v>26.400000000000002</v>
      </c>
    </row>
    <row r="200" spans="1:2" x14ac:dyDescent="0.25">
      <c r="A200" s="4" t="s">
        <v>309</v>
      </c>
      <c r="B200" s="34">
        <v>26.4</v>
      </c>
    </row>
    <row r="201" spans="1:2" x14ac:dyDescent="0.25">
      <c r="A201" s="4" t="s">
        <v>663</v>
      </c>
      <c r="B201" s="34">
        <v>26.4</v>
      </c>
    </row>
    <row r="202" spans="1:2" x14ac:dyDescent="0.25">
      <c r="A202" s="4" t="s">
        <v>601</v>
      </c>
      <c r="B202" s="34">
        <v>26.349999999999998</v>
      </c>
    </row>
    <row r="203" spans="1:2" x14ac:dyDescent="0.25">
      <c r="A203" s="4" t="s">
        <v>821</v>
      </c>
      <c r="B203" s="34">
        <v>26.25</v>
      </c>
    </row>
    <row r="204" spans="1:2" x14ac:dyDescent="0.25">
      <c r="A204" s="4" t="s">
        <v>265</v>
      </c>
      <c r="B204" s="34">
        <v>26</v>
      </c>
    </row>
    <row r="205" spans="1:2" x14ac:dyDescent="0.25">
      <c r="A205" s="4" t="s">
        <v>382</v>
      </c>
      <c r="B205" s="34">
        <v>25.5</v>
      </c>
    </row>
    <row r="206" spans="1:2" x14ac:dyDescent="0.25">
      <c r="A206" s="4" t="s">
        <v>485</v>
      </c>
      <c r="B206" s="34">
        <v>25.5</v>
      </c>
    </row>
    <row r="207" spans="1:2" x14ac:dyDescent="0.25">
      <c r="A207" s="4" t="s">
        <v>754</v>
      </c>
      <c r="B207" s="34">
        <v>25.5</v>
      </c>
    </row>
    <row r="208" spans="1:2" x14ac:dyDescent="0.25">
      <c r="A208" s="4" t="s">
        <v>585</v>
      </c>
      <c r="B208" s="34">
        <v>25.5</v>
      </c>
    </row>
    <row r="209" spans="1:2" x14ac:dyDescent="0.25">
      <c r="A209" s="4" t="s">
        <v>599</v>
      </c>
      <c r="B209" s="34">
        <v>25.5</v>
      </c>
    </row>
    <row r="210" spans="1:2" x14ac:dyDescent="0.25">
      <c r="A210" s="4" t="s">
        <v>521</v>
      </c>
      <c r="B210" s="34">
        <v>25.349999999999998</v>
      </c>
    </row>
    <row r="211" spans="1:2" x14ac:dyDescent="0.25">
      <c r="A211" s="4" t="s">
        <v>376</v>
      </c>
      <c r="B211" s="34">
        <v>25.200000000000003</v>
      </c>
    </row>
    <row r="212" spans="1:2" x14ac:dyDescent="0.25">
      <c r="A212" s="4" t="s">
        <v>247</v>
      </c>
      <c r="B212" s="34">
        <v>25.200000000000003</v>
      </c>
    </row>
    <row r="213" spans="1:2" x14ac:dyDescent="0.25">
      <c r="A213" s="4" t="s">
        <v>913</v>
      </c>
      <c r="B213" s="34">
        <v>25.200000000000003</v>
      </c>
    </row>
    <row r="214" spans="1:2" x14ac:dyDescent="0.25">
      <c r="A214" s="4" t="s">
        <v>702</v>
      </c>
      <c r="B214" s="34">
        <v>25</v>
      </c>
    </row>
    <row r="215" spans="1:2" x14ac:dyDescent="0.25">
      <c r="A215" s="4" t="s">
        <v>768</v>
      </c>
      <c r="B215" s="34">
        <v>24.75</v>
      </c>
    </row>
    <row r="216" spans="1:2" x14ac:dyDescent="0.25">
      <c r="A216" s="4" t="s">
        <v>211</v>
      </c>
      <c r="B216" s="34">
        <v>24.749999999999996</v>
      </c>
    </row>
    <row r="217" spans="1:2" x14ac:dyDescent="0.25">
      <c r="A217" s="4" t="s">
        <v>47</v>
      </c>
      <c r="B217" s="34">
        <v>23.85</v>
      </c>
    </row>
    <row r="218" spans="1:2" x14ac:dyDescent="0.25">
      <c r="A218" s="4" t="s">
        <v>99</v>
      </c>
      <c r="B218" s="34">
        <v>23.85</v>
      </c>
    </row>
    <row r="219" spans="1:2" x14ac:dyDescent="0.25">
      <c r="A219" s="4" t="s">
        <v>275</v>
      </c>
      <c r="B219" s="34">
        <v>23.85</v>
      </c>
    </row>
    <row r="220" spans="1:2" x14ac:dyDescent="0.25">
      <c r="A220" s="4" t="s">
        <v>22</v>
      </c>
      <c r="B220" s="34">
        <v>23.8</v>
      </c>
    </row>
    <row r="221" spans="1:2" x14ac:dyDescent="0.25">
      <c r="A221" s="4" t="s">
        <v>377</v>
      </c>
      <c r="B221" s="34">
        <v>23.8</v>
      </c>
    </row>
    <row r="222" spans="1:2" x14ac:dyDescent="0.25">
      <c r="A222" s="4" t="s">
        <v>354</v>
      </c>
      <c r="B222" s="34">
        <v>23.799999999999997</v>
      </c>
    </row>
    <row r="223" spans="1:2" x14ac:dyDescent="0.25">
      <c r="A223" s="4" t="s">
        <v>425</v>
      </c>
      <c r="B223" s="34">
        <v>23.799999999999997</v>
      </c>
    </row>
    <row r="224" spans="1:2" x14ac:dyDescent="0.25">
      <c r="A224" s="4" t="s">
        <v>150</v>
      </c>
      <c r="B224" s="34">
        <v>23.75</v>
      </c>
    </row>
    <row r="225" spans="1:2" x14ac:dyDescent="0.25">
      <c r="A225" s="4" t="s">
        <v>236</v>
      </c>
      <c r="B225" s="34">
        <v>23.700000000000003</v>
      </c>
    </row>
    <row r="226" spans="1:2" x14ac:dyDescent="0.25">
      <c r="A226" s="4" t="s">
        <v>533</v>
      </c>
      <c r="B226" s="34">
        <v>23.6</v>
      </c>
    </row>
    <row r="227" spans="1:2" x14ac:dyDescent="0.25">
      <c r="A227" s="4" t="s">
        <v>384</v>
      </c>
      <c r="B227" s="34">
        <v>23.400000000000002</v>
      </c>
    </row>
    <row r="228" spans="1:2" x14ac:dyDescent="0.25">
      <c r="A228" s="4" t="s">
        <v>381</v>
      </c>
      <c r="B228" s="34">
        <v>23.4</v>
      </c>
    </row>
    <row r="229" spans="1:2" x14ac:dyDescent="0.25">
      <c r="A229" s="4" t="s">
        <v>251</v>
      </c>
      <c r="B229" s="34">
        <v>23.4</v>
      </c>
    </row>
    <row r="230" spans="1:2" x14ac:dyDescent="0.25">
      <c r="A230" s="4" t="s">
        <v>762</v>
      </c>
      <c r="B230" s="34">
        <v>23.4</v>
      </c>
    </row>
    <row r="231" spans="1:2" x14ac:dyDescent="0.25">
      <c r="A231" s="4" t="s">
        <v>305</v>
      </c>
      <c r="B231" s="34">
        <v>23.1</v>
      </c>
    </row>
    <row r="232" spans="1:2" x14ac:dyDescent="0.25">
      <c r="A232" s="4" t="s">
        <v>27</v>
      </c>
      <c r="B232" s="34">
        <v>23.099999999999998</v>
      </c>
    </row>
    <row r="233" spans="1:2" x14ac:dyDescent="0.25">
      <c r="A233" s="4" t="s">
        <v>621</v>
      </c>
      <c r="B233" s="34">
        <v>23.099999999999998</v>
      </c>
    </row>
    <row r="234" spans="1:2" x14ac:dyDescent="0.25">
      <c r="A234" s="4" t="s">
        <v>273</v>
      </c>
      <c r="B234" s="34">
        <v>22.95</v>
      </c>
    </row>
    <row r="235" spans="1:2" x14ac:dyDescent="0.25">
      <c r="A235" s="4" t="s">
        <v>483</v>
      </c>
      <c r="B235" s="34">
        <v>22.5</v>
      </c>
    </row>
    <row r="236" spans="1:2" x14ac:dyDescent="0.25">
      <c r="A236" s="4" t="s">
        <v>687</v>
      </c>
      <c r="B236" s="34">
        <v>22.5</v>
      </c>
    </row>
    <row r="237" spans="1:2" x14ac:dyDescent="0.25">
      <c r="A237" s="4" t="s">
        <v>142</v>
      </c>
      <c r="B237" s="34">
        <v>22.5</v>
      </c>
    </row>
    <row r="238" spans="1:2" x14ac:dyDescent="0.25">
      <c r="A238" s="4" t="s">
        <v>161</v>
      </c>
      <c r="B238" s="34">
        <v>22.5</v>
      </c>
    </row>
    <row r="239" spans="1:2" x14ac:dyDescent="0.25">
      <c r="A239" s="4" t="s">
        <v>831</v>
      </c>
      <c r="B239" s="34">
        <v>22.5</v>
      </c>
    </row>
    <row r="240" spans="1:2" x14ac:dyDescent="0.25">
      <c r="A240" s="4" t="s">
        <v>716</v>
      </c>
      <c r="B240" s="34">
        <v>22.26</v>
      </c>
    </row>
    <row r="241" spans="1:2" x14ac:dyDescent="0.25">
      <c r="A241" s="4" t="s">
        <v>734</v>
      </c>
      <c r="B241" s="34">
        <v>21.9</v>
      </c>
    </row>
    <row r="242" spans="1:2" x14ac:dyDescent="0.25">
      <c r="A242" s="4" t="s">
        <v>523</v>
      </c>
      <c r="B242" s="34">
        <v>21.25</v>
      </c>
    </row>
    <row r="243" spans="1:2" x14ac:dyDescent="0.25">
      <c r="A243" s="4" t="s">
        <v>917</v>
      </c>
      <c r="B243" s="34">
        <v>21</v>
      </c>
    </row>
    <row r="244" spans="1:2" x14ac:dyDescent="0.25">
      <c r="A244" s="4" t="s">
        <v>455</v>
      </c>
      <c r="B244" s="34">
        <v>21</v>
      </c>
    </row>
    <row r="245" spans="1:2" x14ac:dyDescent="0.25">
      <c r="A245" s="4" t="s">
        <v>565</v>
      </c>
      <c r="B245" s="34">
        <v>21</v>
      </c>
    </row>
    <row r="246" spans="1:2" x14ac:dyDescent="0.25">
      <c r="A246" s="4" t="s">
        <v>450</v>
      </c>
      <c r="B246" s="34">
        <v>21</v>
      </c>
    </row>
    <row r="247" spans="1:2" x14ac:dyDescent="0.25">
      <c r="A247" s="4" t="s">
        <v>216</v>
      </c>
      <c r="B247" s="34">
        <v>20.650000000000002</v>
      </c>
    </row>
    <row r="248" spans="1:2" x14ac:dyDescent="0.25">
      <c r="A248" s="4" t="s">
        <v>966</v>
      </c>
      <c r="B248" s="34">
        <v>20.399999999999999</v>
      </c>
    </row>
    <row r="249" spans="1:2" x14ac:dyDescent="0.25">
      <c r="A249" s="4" t="s">
        <v>472</v>
      </c>
      <c r="B249" s="34">
        <v>20.399999999999999</v>
      </c>
    </row>
    <row r="250" spans="1:2" x14ac:dyDescent="0.25">
      <c r="A250" s="4" t="s">
        <v>108</v>
      </c>
      <c r="B250" s="34">
        <v>20.399999999999999</v>
      </c>
    </row>
    <row r="251" spans="1:2" x14ac:dyDescent="0.25">
      <c r="A251" s="4" t="s">
        <v>903</v>
      </c>
      <c r="B251" s="34">
        <v>20.399999999999999</v>
      </c>
    </row>
    <row r="252" spans="1:2" x14ac:dyDescent="0.25">
      <c r="A252" s="4" t="s">
        <v>857</v>
      </c>
      <c r="B252" s="34">
        <v>20.399999999999999</v>
      </c>
    </row>
    <row r="253" spans="1:2" x14ac:dyDescent="0.25">
      <c r="A253" s="4" t="s">
        <v>860</v>
      </c>
      <c r="B253" s="34">
        <v>20.28</v>
      </c>
    </row>
    <row r="254" spans="1:2" x14ac:dyDescent="0.25">
      <c r="A254" s="4" t="s">
        <v>468</v>
      </c>
      <c r="B254" s="34">
        <v>20.28</v>
      </c>
    </row>
    <row r="255" spans="1:2" x14ac:dyDescent="0.25">
      <c r="A255" s="4" t="s">
        <v>130</v>
      </c>
      <c r="B255" s="34">
        <v>20.25</v>
      </c>
    </row>
    <row r="256" spans="1:2" x14ac:dyDescent="0.25">
      <c r="A256" s="4" t="s">
        <v>195</v>
      </c>
      <c r="B256" s="34">
        <v>20.25</v>
      </c>
    </row>
    <row r="257" spans="1:2" x14ac:dyDescent="0.25">
      <c r="A257" s="4" t="s">
        <v>887</v>
      </c>
      <c r="B257" s="34">
        <v>20.16</v>
      </c>
    </row>
    <row r="258" spans="1:2" x14ac:dyDescent="0.25">
      <c r="A258" s="4" t="s">
        <v>554</v>
      </c>
      <c r="B258" s="34">
        <v>20.16</v>
      </c>
    </row>
    <row r="259" spans="1:2" x14ac:dyDescent="0.25">
      <c r="A259" s="4" t="s">
        <v>443</v>
      </c>
      <c r="B259" s="34">
        <v>20.16</v>
      </c>
    </row>
    <row r="260" spans="1:2" x14ac:dyDescent="0.25">
      <c r="A260" s="4" t="s">
        <v>610</v>
      </c>
      <c r="B260" s="34">
        <v>19.899999999999999</v>
      </c>
    </row>
    <row r="261" spans="1:2" x14ac:dyDescent="0.25">
      <c r="A261" s="4" t="s">
        <v>494</v>
      </c>
      <c r="B261" s="34">
        <v>19.899999999999999</v>
      </c>
    </row>
    <row r="262" spans="1:2" x14ac:dyDescent="0.25">
      <c r="A262" s="4" t="s">
        <v>250</v>
      </c>
      <c r="B262" s="34">
        <v>19.899999999999999</v>
      </c>
    </row>
    <row r="263" spans="1:2" x14ac:dyDescent="0.25">
      <c r="A263" s="4" t="s">
        <v>790</v>
      </c>
      <c r="B263" s="34">
        <v>19.899999999999999</v>
      </c>
    </row>
    <row r="264" spans="1:2" x14ac:dyDescent="0.25">
      <c r="A264" s="4" t="s">
        <v>779</v>
      </c>
      <c r="B264" s="34">
        <v>19.899999999999999</v>
      </c>
    </row>
    <row r="265" spans="1:2" x14ac:dyDescent="0.25">
      <c r="A265" s="4" t="s">
        <v>312</v>
      </c>
      <c r="B265" s="34">
        <v>19.8</v>
      </c>
    </row>
    <row r="266" spans="1:2" x14ac:dyDescent="0.25">
      <c r="A266" s="4" t="s">
        <v>136</v>
      </c>
      <c r="B266" s="34">
        <v>19.8</v>
      </c>
    </row>
    <row r="267" spans="1:2" x14ac:dyDescent="0.25">
      <c r="A267" s="4" t="s">
        <v>198</v>
      </c>
      <c r="B267" s="34">
        <v>19.8</v>
      </c>
    </row>
    <row r="268" spans="1:2" x14ac:dyDescent="0.25">
      <c r="A268" s="4" t="s">
        <v>656</v>
      </c>
      <c r="B268" s="34">
        <v>19.8</v>
      </c>
    </row>
    <row r="269" spans="1:2" x14ac:dyDescent="0.25">
      <c r="A269" s="4" t="s">
        <v>709</v>
      </c>
      <c r="B269" s="34">
        <v>19.799999999999997</v>
      </c>
    </row>
    <row r="270" spans="1:2" x14ac:dyDescent="0.25">
      <c r="A270" s="4" t="s">
        <v>812</v>
      </c>
      <c r="B270" s="34">
        <v>19.799999999999997</v>
      </c>
    </row>
    <row r="271" spans="1:2" x14ac:dyDescent="0.25">
      <c r="A271" s="4" t="s">
        <v>520</v>
      </c>
      <c r="B271" s="34">
        <v>19.799999999999997</v>
      </c>
    </row>
    <row r="272" spans="1:2" x14ac:dyDescent="0.25">
      <c r="A272" s="4" t="s">
        <v>110</v>
      </c>
      <c r="B272" s="34">
        <v>19.799999999999997</v>
      </c>
    </row>
    <row r="273" spans="1:2" x14ac:dyDescent="0.25">
      <c r="A273" s="4" t="s">
        <v>73</v>
      </c>
      <c r="B273" s="34">
        <v>19.799999999999997</v>
      </c>
    </row>
    <row r="274" spans="1:2" x14ac:dyDescent="0.25">
      <c r="A274" s="4" t="s">
        <v>139</v>
      </c>
      <c r="B274" s="34">
        <v>19.799999999999997</v>
      </c>
    </row>
    <row r="275" spans="1:2" x14ac:dyDescent="0.25">
      <c r="A275" s="4" t="s">
        <v>957</v>
      </c>
      <c r="B275" s="34">
        <v>19.799999999999997</v>
      </c>
    </row>
    <row r="276" spans="1:2" x14ac:dyDescent="0.25">
      <c r="A276" s="4" t="s">
        <v>936</v>
      </c>
      <c r="B276" s="34">
        <v>19.799999999999997</v>
      </c>
    </row>
    <row r="277" spans="1:2" x14ac:dyDescent="0.25">
      <c r="A277" s="4" t="s">
        <v>909</v>
      </c>
      <c r="B277" s="34">
        <v>19.799999999999997</v>
      </c>
    </row>
    <row r="278" spans="1:2" x14ac:dyDescent="0.25">
      <c r="A278" s="4" t="s">
        <v>682</v>
      </c>
      <c r="B278" s="34">
        <v>19.5</v>
      </c>
    </row>
    <row r="279" spans="1:2" x14ac:dyDescent="0.25">
      <c r="A279" s="4" t="s">
        <v>894</v>
      </c>
      <c r="B279" s="34">
        <v>19.5</v>
      </c>
    </row>
    <row r="280" spans="1:2" x14ac:dyDescent="0.25">
      <c r="A280" s="4" t="s">
        <v>810</v>
      </c>
      <c r="B280" s="34">
        <v>19.5</v>
      </c>
    </row>
    <row r="281" spans="1:2" x14ac:dyDescent="0.25">
      <c r="A281" s="4" t="s">
        <v>587</v>
      </c>
      <c r="B281" s="34">
        <v>19.5</v>
      </c>
    </row>
    <row r="282" spans="1:2" x14ac:dyDescent="0.25">
      <c r="A282" s="4" t="s">
        <v>776</v>
      </c>
      <c r="B282" s="34">
        <v>18.95</v>
      </c>
    </row>
    <row r="283" spans="1:2" x14ac:dyDescent="0.25">
      <c r="A283" s="4" t="s">
        <v>597</v>
      </c>
      <c r="B283" s="34">
        <v>18.75</v>
      </c>
    </row>
    <row r="284" spans="1:2" x14ac:dyDescent="0.25">
      <c r="A284" s="4" t="s">
        <v>383</v>
      </c>
      <c r="B284" s="34">
        <v>18.75</v>
      </c>
    </row>
    <row r="285" spans="1:2" x14ac:dyDescent="0.25">
      <c r="A285" s="4" t="s">
        <v>401</v>
      </c>
      <c r="B285" s="34">
        <v>18.75</v>
      </c>
    </row>
    <row r="286" spans="1:2" x14ac:dyDescent="0.25">
      <c r="A286" s="4" t="s">
        <v>925</v>
      </c>
      <c r="B286" s="34">
        <v>18.600000000000001</v>
      </c>
    </row>
    <row r="287" spans="1:2" x14ac:dyDescent="0.25">
      <c r="A287" s="4" t="s">
        <v>460</v>
      </c>
      <c r="B287" s="34">
        <v>18.600000000000001</v>
      </c>
    </row>
    <row r="288" spans="1:2" x14ac:dyDescent="0.25">
      <c r="A288" s="4" t="s">
        <v>676</v>
      </c>
      <c r="B288" s="34">
        <v>18.149999999999999</v>
      </c>
    </row>
    <row r="289" spans="1:2" x14ac:dyDescent="0.25">
      <c r="A289" s="4" t="s">
        <v>510</v>
      </c>
      <c r="B289" s="34">
        <v>17.899999999999999</v>
      </c>
    </row>
    <row r="290" spans="1:2" x14ac:dyDescent="0.25">
      <c r="A290" s="4" t="s">
        <v>218</v>
      </c>
      <c r="B290" s="34">
        <v>17.88</v>
      </c>
    </row>
    <row r="291" spans="1:2" x14ac:dyDescent="0.25">
      <c r="A291" s="4" t="s">
        <v>257</v>
      </c>
      <c r="B291" s="34">
        <v>17.850000000000001</v>
      </c>
    </row>
    <row r="292" spans="1:2" x14ac:dyDescent="0.25">
      <c r="A292" s="4" t="s">
        <v>292</v>
      </c>
      <c r="B292" s="34">
        <v>17.850000000000001</v>
      </c>
    </row>
    <row r="293" spans="1:2" x14ac:dyDescent="0.25">
      <c r="A293" s="4" t="s">
        <v>144</v>
      </c>
      <c r="B293" s="34">
        <v>17.850000000000001</v>
      </c>
    </row>
    <row r="294" spans="1:2" x14ac:dyDescent="0.25">
      <c r="A294" s="4" t="s">
        <v>697</v>
      </c>
      <c r="B294" s="34">
        <v>17.850000000000001</v>
      </c>
    </row>
    <row r="295" spans="1:2" x14ac:dyDescent="0.25">
      <c r="A295" s="4" t="s">
        <v>303</v>
      </c>
      <c r="B295" s="34">
        <v>17.849999999999998</v>
      </c>
    </row>
    <row r="296" spans="1:2" x14ac:dyDescent="0.25">
      <c r="A296" s="4" t="s">
        <v>41</v>
      </c>
      <c r="B296" s="34">
        <v>17.700000000000003</v>
      </c>
    </row>
    <row r="297" spans="1:2" x14ac:dyDescent="0.25">
      <c r="A297" s="4" t="s">
        <v>883</v>
      </c>
      <c r="B297" s="34">
        <v>17.700000000000003</v>
      </c>
    </row>
    <row r="298" spans="1:2" x14ac:dyDescent="0.25">
      <c r="A298" s="4" t="s">
        <v>923</v>
      </c>
      <c r="B298" s="34">
        <v>17.700000000000003</v>
      </c>
    </row>
    <row r="299" spans="1:2" x14ac:dyDescent="0.25">
      <c r="A299" s="4" t="s">
        <v>632</v>
      </c>
      <c r="B299" s="34">
        <v>17.700000000000003</v>
      </c>
    </row>
    <row r="300" spans="1:2" x14ac:dyDescent="0.25">
      <c r="A300" s="4" t="s">
        <v>782</v>
      </c>
      <c r="B300" s="34">
        <v>17.700000000000003</v>
      </c>
    </row>
    <row r="301" spans="1:2" x14ac:dyDescent="0.25">
      <c r="A301" s="4" t="s">
        <v>753</v>
      </c>
      <c r="B301" s="34">
        <v>17.700000000000003</v>
      </c>
    </row>
    <row r="302" spans="1:2" x14ac:dyDescent="0.25">
      <c r="A302" s="4" t="s">
        <v>33</v>
      </c>
      <c r="B302" s="34">
        <v>17.700000000000003</v>
      </c>
    </row>
    <row r="303" spans="1:2" x14ac:dyDescent="0.25">
      <c r="A303" s="4" t="s">
        <v>248</v>
      </c>
      <c r="B303" s="34">
        <v>17.700000000000003</v>
      </c>
    </row>
    <row r="304" spans="1:2" x14ac:dyDescent="0.25">
      <c r="A304" s="4" t="s">
        <v>871</v>
      </c>
      <c r="B304" s="34">
        <v>17.700000000000003</v>
      </c>
    </row>
    <row r="305" spans="1:2" x14ac:dyDescent="0.25">
      <c r="A305" s="4" t="s">
        <v>464</v>
      </c>
      <c r="B305" s="34">
        <v>17.700000000000003</v>
      </c>
    </row>
    <row r="306" spans="1:2" x14ac:dyDescent="0.25">
      <c r="A306" s="4" t="s">
        <v>367</v>
      </c>
      <c r="B306" s="34">
        <v>17.700000000000003</v>
      </c>
    </row>
    <row r="307" spans="1:2" x14ac:dyDescent="0.25">
      <c r="A307" s="4" t="s">
        <v>861</v>
      </c>
      <c r="B307" s="34">
        <v>17.700000000000003</v>
      </c>
    </row>
    <row r="308" spans="1:2" x14ac:dyDescent="0.25">
      <c r="A308" s="4" t="s">
        <v>357</v>
      </c>
      <c r="B308" s="34">
        <v>17.700000000000003</v>
      </c>
    </row>
    <row r="309" spans="1:2" x14ac:dyDescent="0.25">
      <c r="A309" s="4" t="s">
        <v>976</v>
      </c>
      <c r="B309" s="34">
        <v>17.700000000000003</v>
      </c>
    </row>
    <row r="310" spans="1:2" x14ac:dyDescent="0.25">
      <c r="A310" s="4" t="s">
        <v>591</v>
      </c>
      <c r="B310" s="34">
        <v>17.700000000000003</v>
      </c>
    </row>
    <row r="311" spans="1:2" x14ac:dyDescent="0.25">
      <c r="A311" s="4" t="s">
        <v>910</v>
      </c>
      <c r="B311" s="34">
        <v>17.700000000000003</v>
      </c>
    </row>
    <row r="312" spans="1:2" x14ac:dyDescent="0.25">
      <c r="A312" s="4" t="s">
        <v>855</v>
      </c>
      <c r="B312" s="34">
        <v>17.700000000000003</v>
      </c>
    </row>
    <row r="313" spans="1:2" x14ac:dyDescent="0.25">
      <c r="A313" s="4" t="s">
        <v>386</v>
      </c>
      <c r="B313" s="34">
        <v>17.700000000000003</v>
      </c>
    </row>
    <row r="314" spans="1:2" x14ac:dyDescent="0.25">
      <c r="A314" s="4" t="s">
        <v>795</v>
      </c>
      <c r="B314" s="34">
        <v>17.700000000000003</v>
      </c>
    </row>
    <row r="315" spans="1:2" x14ac:dyDescent="0.25">
      <c r="A315" s="4" t="s">
        <v>639</v>
      </c>
      <c r="B315" s="34">
        <v>17.700000000000003</v>
      </c>
    </row>
    <row r="316" spans="1:2" x14ac:dyDescent="0.25">
      <c r="A316" s="4" t="s">
        <v>194</v>
      </c>
      <c r="B316" s="34">
        <v>17.5</v>
      </c>
    </row>
    <row r="317" spans="1:2" x14ac:dyDescent="0.25">
      <c r="A317" s="4" t="s">
        <v>192</v>
      </c>
      <c r="B317" s="34">
        <v>17.5</v>
      </c>
    </row>
    <row r="318" spans="1:2" x14ac:dyDescent="0.25">
      <c r="A318" s="4" t="s">
        <v>518</v>
      </c>
      <c r="B318" s="34">
        <v>17.399999999999999</v>
      </c>
    </row>
    <row r="319" spans="1:2" x14ac:dyDescent="0.25">
      <c r="A319" s="4" t="s">
        <v>748</v>
      </c>
      <c r="B319" s="34">
        <v>17.399999999999999</v>
      </c>
    </row>
    <row r="320" spans="1:2" x14ac:dyDescent="0.25">
      <c r="A320" s="4" t="s">
        <v>659</v>
      </c>
      <c r="B320" s="34">
        <v>17.399999999999999</v>
      </c>
    </row>
    <row r="321" spans="1:2" x14ac:dyDescent="0.25">
      <c r="A321" s="4" t="s">
        <v>647</v>
      </c>
      <c r="B321" s="34">
        <v>17.399999999999999</v>
      </c>
    </row>
    <row r="322" spans="1:2" x14ac:dyDescent="0.25">
      <c r="A322" s="4" t="s">
        <v>423</v>
      </c>
      <c r="B322" s="34">
        <v>17</v>
      </c>
    </row>
    <row r="323" spans="1:2" x14ac:dyDescent="0.25">
      <c r="A323" s="4" t="s">
        <v>254</v>
      </c>
      <c r="B323" s="34">
        <v>17</v>
      </c>
    </row>
    <row r="324" spans="1:2" x14ac:dyDescent="0.25">
      <c r="A324" s="4" t="s">
        <v>128</v>
      </c>
      <c r="B324" s="34">
        <v>17</v>
      </c>
    </row>
    <row r="325" spans="1:2" x14ac:dyDescent="0.25">
      <c r="A325" s="4" t="s">
        <v>801</v>
      </c>
      <c r="B325" s="34">
        <v>17</v>
      </c>
    </row>
    <row r="326" spans="1:2" x14ac:dyDescent="0.25">
      <c r="A326" s="4" t="s">
        <v>157</v>
      </c>
      <c r="B326" s="34">
        <v>17</v>
      </c>
    </row>
    <row r="327" spans="1:2" x14ac:dyDescent="0.25">
      <c r="A327" s="4" t="s">
        <v>934</v>
      </c>
      <c r="B327" s="34">
        <v>17</v>
      </c>
    </row>
    <row r="328" spans="1:2" x14ac:dyDescent="0.25">
      <c r="A328" s="4" t="s">
        <v>105</v>
      </c>
      <c r="B328" s="34">
        <v>17</v>
      </c>
    </row>
    <row r="329" spans="1:2" x14ac:dyDescent="0.25">
      <c r="A329" s="4" t="s">
        <v>816</v>
      </c>
      <c r="B329" s="34">
        <v>17</v>
      </c>
    </row>
    <row r="330" spans="1:2" x14ac:dyDescent="0.25">
      <c r="A330" s="4" t="s">
        <v>97</v>
      </c>
      <c r="B330" s="34">
        <v>17</v>
      </c>
    </row>
    <row r="331" spans="1:2" x14ac:dyDescent="0.25">
      <c r="A331" s="4" t="s">
        <v>235</v>
      </c>
      <c r="B331" s="34">
        <v>17</v>
      </c>
    </row>
    <row r="332" spans="1:2" x14ac:dyDescent="0.25">
      <c r="A332" s="4" t="s">
        <v>167</v>
      </c>
      <c r="B332" s="34">
        <v>16.95</v>
      </c>
    </row>
    <row r="333" spans="1:2" x14ac:dyDescent="0.25">
      <c r="A333" s="4" t="s">
        <v>686</v>
      </c>
      <c r="B333" s="34">
        <v>16.95</v>
      </c>
    </row>
    <row r="334" spans="1:2" x14ac:dyDescent="0.25">
      <c r="A334" s="4" t="s">
        <v>255</v>
      </c>
      <c r="B334" s="34">
        <v>16.8</v>
      </c>
    </row>
    <row r="335" spans="1:2" x14ac:dyDescent="0.25">
      <c r="A335" s="4" t="s">
        <v>229</v>
      </c>
      <c r="B335" s="34">
        <v>16.5</v>
      </c>
    </row>
    <row r="336" spans="1:2" x14ac:dyDescent="0.25">
      <c r="A336" s="4" t="s">
        <v>444</v>
      </c>
      <c r="B336" s="34">
        <v>16.5</v>
      </c>
    </row>
    <row r="337" spans="1:2" x14ac:dyDescent="0.25">
      <c r="A337" s="4" t="s">
        <v>391</v>
      </c>
      <c r="B337" s="34">
        <v>16.5</v>
      </c>
    </row>
    <row r="338" spans="1:2" x14ac:dyDescent="0.25">
      <c r="A338" s="4" t="s">
        <v>820</v>
      </c>
      <c r="B338" s="34">
        <v>16.350000000000001</v>
      </c>
    </row>
    <row r="339" spans="1:2" x14ac:dyDescent="0.25">
      <c r="A339" s="4" t="s">
        <v>126</v>
      </c>
      <c r="B339" s="34">
        <v>16.25</v>
      </c>
    </row>
    <row r="340" spans="1:2" x14ac:dyDescent="0.25">
      <c r="A340" s="4" t="s">
        <v>733</v>
      </c>
      <c r="B340" s="34">
        <v>16.25</v>
      </c>
    </row>
    <row r="341" spans="1:2" x14ac:dyDescent="0.25">
      <c r="A341" s="4" t="s">
        <v>258</v>
      </c>
      <c r="B341" s="34">
        <v>16.150000000000002</v>
      </c>
    </row>
    <row r="342" spans="1:2" x14ac:dyDescent="0.25">
      <c r="A342" s="4" t="s">
        <v>794</v>
      </c>
      <c r="B342" s="34">
        <v>15.9</v>
      </c>
    </row>
    <row r="343" spans="1:2" x14ac:dyDescent="0.25">
      <c r="A343" s="4" t="s">
        <v>177</v>
      </c>
      <c r="B343" s="34">
        <v>15.9</v>
      </c>
    </row>
    <row r="344" spans="1:2" x14ac:dyDescent="0.25">
      <c r="A344" s="4" t="s">
        <v>338</v>
      </c>
      <c r="B344" s="34">
        <v>15.9</v>
      </c>
    </row>
    <row r="345" spans="1:2" x14ac:dyDescent="0.25">
      <c r="A345" s="4" t="s">
        <v>224</v>
      </c>
      <c r="B345" s="34">
        <v>15.9</v>
      </c>
    </row>
    <row r="346" spans="1:2" x14ac:dyDescent="0.25">
      <c r="A346" s="4" t="s">
        <v>640</v>
      </c>
      <c r="B346" s="34">
        <v>15.9</v>
      </c>
    </row>
    <row r="347" spans="1:2" x14ac:dyDescent="0.25">
      <c r="A347" s="4" t="s">
        <v>933</v>
      </c>
      <c r="B347" s="34">
        <v>15.8</v>
      </c>
    </row>
    <row r="348" spans="1:2" x14ac:dyDescent="0.25">
      <c r="A348" s="4" t="s">
        <v>219</v>
      </c>
      <c r="B348" s="34">
        <v>15.600000000000001</v>
      </c>
    </row>
    <row r="349" spans="1:2" x14ac:dyDescent="0.25">
      <c r="A349" s="4" t="s">
        <v>341</v>
      </c>
      <c r="B349" s="34">
        <v>15.600000000000001</v>
      </c>
    </row>
    <row r="350" spans="1:2" x14ac:dyDescent="0.25">
      <c r="A350" s="4" t="s">
        <v>66</v>
      </c>
      <c r="B350" s="34">
        <v>15.600000000000001</v>
      </c>
    </row>
    <row r="351" spans="1:2" x14ac:dyDescent="0.25">
      <c r="A351" s="4" t="s">
        <v>16</v>
      </c>
      <c r="B351" s="34">
        <v>15.299999999999999</v>
      </c>
    </row>
    <row r="352" spans="1:2" x14ac:dyDescent="0.25">
      <c r="A352" s="4" t="s">
        <v>757</v>
      </c>
      <c r="B352" s="34">
        <v>15.299999999999999</v>
      </c>
    </row>
    <row r="353" spans="1:2" x14ac:dyDescent="0.25">
      <c r="A353" s="4" t="s">
        <v>133</v>
      </c>
      <c r="B353" s="34">
        <v>15.299999999999999</v>
      </c>
    </row>
    <row r="354" spans="1:2" x14ac:dyDescent="0.25">
      <c r="A354" s="4" t="s">
        <v>262</v>
      </c>
      <c r="B354" s="34">
        <v>15.299999999999999</v>
      </c>
    </row>
    <row r="355" spans="1:2" x14ac:dyDescent="0.25">
      <c r="A355" s="4" t="s">
        <v>415</v>
      </c>
      <c r="B355" s="34">
        <v>15.299999999999999</v>
      </c>
    </row>
    <row r="356" spans="1:2" x14ac:dyDescent="0.25">
      <c r="A356" s="4" t="s">
        <v>875</v>
      </c>
      <c r="B356" s="34">
        <v>15.299999999999999</v>
      </c>
    </row>
    <row r="357" spans="1:2" x14ac:dyDescent="0.25">
      <c r="A357" s="4" t="s">
        <v>832</v>
      </c>
      <c r="B357" s="34">
        <v>15.299999999999999</v>
      </c>
    </row>
    <row r="358" spans="1:2" x14ac:dyDescent="0.25">
      <c r="A358" s="4" t="s">
        <v>852</v>
      </c>
      <c r="B358" s="34">
        <v>15.299999999999999</v>
      </c>
    </row>
    <row r="359" spans="1:2" x14ac:dyDescent="0.25">
      <c r="A359" s="4" t="s">
        <v>491</v>
      </c>
      <c r="B359" s="34">
        <v>15.299999999999999</v>
      </c>
    </row>
    <row r="360" spans="1:2" x14ac:dyDescent="0.25">
      <c r="A360" s="4" t="s">
        <v>361</v>
      </c>
      <c r="B360" s="34">
        <v>15.299999999999999</v>
      </c>
    </row>
    <row r="361" spans="1:2" x14ac:dyDescent="0.25">
      <c r="A361" s="4" t="s">
        <v>267</v>
      </c>
      <c r="B361" s="34">
        <v>15.299999999999999</v>
      </c>
    </row>
    <row r="362" spans="1:2" x14ac:dyDescent="0.25">
      <c r="A362" s="4" t="s">
        <v>422</v>
      </c>
      <c r="B362" s="34">
        <v>15</v>
      </c>
    </row>
    <row r="363" spans="1:2" x14ac:dyDescent="0.25">
      <c r="A363" s="4" t="s">
        <v>454</v>
      </c>
      <c r="B363" s="34">
        <v>15</v>
      </c>
    </row>
    <row r="364" spans="1:2" x14ac:dyDescent="0.25">
      <c r="A364" s="4" t="s">
        <v>366</v>
      </c>
      <c r="B364" s="34">
        <v>15</v>
      </c>
    </row>
    <row r="365" spans="1:2" x14ac:dyDescent="0.25">
      <c r="A365" s="4" t="s">
        <v>261</v>
      </c>
      <c r="B365" s="34">
        <v>15</v>
      </c>
    </row>
    <row r="366" spans="1:2" x14ac:dyDescent="0.25">
      <c r="A366" s="4" t="s">
        <v>677</v>
      </c>
      <c r="B366" s="34">
        <v>15</v>
      </c>
    </row>
    <row r="367" spans="1:2" x14ac:dyDescent="0.25">
      <c r="A367" s="4" t="s">
        <v>385</v>
      </c>
      <c r="B367" s="34">
        <v>15</v>
      </c>
    </row>
    <row r="368" spans="1:2" x14ac:dyDescent="0.25">
      <c r="A368" s="4" t="s">
        <v>714</v>
      </c>
      <c r="B368" s="34">
        <v>15</v>
      </c>
    </row>
    <row r="369" spans="1:2" x14ac:dyDescent="0.25">
      <c r="A369" s="4" t="s">
        <v>732</v>
      </c>
      <c r="B369" s="34">
        <v>15</v>
      </c>
    </row>
    <row r="370" spans="1:2" x14ac:dyDescent="0.25">
      <c r="A370" s="4" t="s">
        <v>603</v>
      </c>
      <c r="B370" s="34">
        <v>15</v>
      </c>
    </row>
    <row r="371" spans="1:2" x14ac:dyDescent="0.25">
      <c r="A371" s="4" t="s">
        <v>559</v>
      </c>
      <c r="B371" s="34">
        <v>15</v>
      </c>
    </row>
    <row r="372" spans="1:2" x14ac:dyDescent="0.25">
      <c r="A372" s="4" t="s">
        <v>670</v>
      </c>
      <c r="B372" s="34">
        <v>15</v>
      </c>
    </row>
    <row r="373" spans="1:2" x14ac:dyDescent="0.25">
      <c r="A373" s="4" t="s">
        <v>396</v>
      </c>
      <c r="B373" s="34">
        <v>15</v>
      </c>
    </row>
    <row r="374" spans="1:2" x14ac:dyDescent="0.25">
      <c r="A374" s="4" t="s">
        <v>204</v>
      </c>
      <c r="B374" s="34">
        <v>15</v>
      </c>
    </row>
    <row r="375" spans="1:2" x14ac:dyDescent="0.25">
      <c r="A375" s="4" t="s">
        <v>490</v>
      </c>
      <c r="B375" s="34">
        <v>15</v>
      </c>
    </row>
    <row r="376" spans="1:2" x14ac:dyDescent="0.25">
      <c r="A376" s="4" t="s">
        <v>75</v>
      </c>
      <c r="B376" s="34">
        <v>15</v>
      </c>
    </row>
    <row r="377" spans="1:2" x14ac:dyDescent="0.25">
      <c r="A377" s="4" t="s">
        <v>629</v>
      </c>
      <c r="B377" s="34">
        <v>15</v>
      </c>
    </row>
    <row r="378" spans="1:2" x14ac:dyDescent="0.25">
      <c r="A378" s="4" t="s">
        <v>238</v>
      </c>
      <c r="B378" s="34">
        <v>15</v>
      </c>
    </row>
    <row r="379" spans="1:2" x14ac:dyDescent="0.25">
      <c r="A379" s="4" t="s">
        <v>256</v>
      </c>
      <c r="B379" s="34">
        <v>15</v>
      </c>
    </row>
    <row r="380" spans="1:2" x14ac:dyDescent="0.25">
      <c r="A380" s="4" t="s">
        <v>433</v>
      </c>
      <c r="B380" s="34">
        <v>15</v>
      </c>
    </row>
    <row r="381" spans="1:2" x14ac:dyDescent="0.25">
      <c r="A381" s="4" t="s">
        <v>931</v>
      </c>
      <c r="B381" s="34">
        <v>14.98</v>
      </c>
    </row>
    <row r="382" spans="1:2" x14ac:dyDescent="0.25">
      <c r="A382" s="4" t="s">
        <v>439</v>
      </c>
      <c r="B382" s="34">
        <v>14.98</v>
      </c>
    </row>
    <row r="383" spans="1:2" x14ac:dyDescent="0.25">
      <c r="A383" s="4" t="s">
        <v>884</v>
      </c>
      <c r="B383" s="34">
        <v>14.98</v>
      </c>
    </row>
    <row r="384" spans="1:2" x14ac:dyDescent="0.25">
      <c r="A384" s="4" t="s">
        <v>851</v>
      </c>
      <c r="B384" s="34">
        <v>14.98</v>
      </c>
    </row>
    <row r="385" spans="1:2" x14ac:dyDescent="0.25">
      <c r="A385" s="4" t="s">
        <v>564</v>
      </c>
      <c r="B385" s="34">
        <v>14.95</v>
      </c>
    </row>
    <row r="386" spans="1:2" x14ac:dyDescent="0.25">
      <c r="A386" s="4" t="s">
        <v>279</v>
      </c>
      <c r="B386" s="34">
        <v>14.850000000000001</v>
      </c>
    </row>
    <row r="387" spans="1:2" x14ac:dyDescent="0.25">
      <c r="A387" s="4" t="s">
        <v>839</v>
      </c>
      <c r="B387" s="34">
        <v>14.850000000000001</v>
      </c>
    </row>
    <row r="388" spans="1:2" x14ac:dyDescent="0.25">
      <c r="A388" s="4" t="s">
        <v>101</v>
      </c>
      <c r="B388" s="34">
        <v>14.850000000000001</v>
      </c>
    </row>
    <row r="389" spans="1:2" x14ac:dyDescent="0.25">
      <c r="A389" s="4" t="s">
        <v>46</v>
      </c>
      <c r="B389" s="34">
        <v>14.84</v>
      </c>
    </row>
    <row r="390" spans="1:2" x14ac:dyDescent="0.25">
      <c r="A390" s="4" t="s">
        <v>876</v>
      </c>
      <c r="B390" s="34">
        <v>14.75</v>
      </c>
    </row>
    <row r="391" spans="1:2" x14ac:dyDescent="0.25">
      <c r="A391" s="4" t="s">
        <v>688</v>
      </c>
      <c r="B391" s="34">
        <v>14.5</v>
      </c>
    </row>
    <row r="392" spans="1:2" x14ac:dyDescent="0.25">
      <c r="A392" s="4" t="s">
        <v>612</v>
      </c>
      <c r="B392" s="34">
        <v>14.3</v>
      </c>
    </row>
    <row r="393" spans="1:2" x14ac:dyDescent="0.25">
      <c r="A393" s="4" t="s">
        <v>451</v>
      </c>
      <c r="B393" s="34">
        <v>13.750000000000002</v>
      </c>
    </row>
    <row r="394" spans="1:2" x14ac:dyDescent="0.25">
      <c r="A394" s="4" t="s">
        <v>329</v>
      </c>
      <c r="B394" s="34">
        <v>13.75</v>
      </c>
    </row>
    <row r="395" spans="1:2" x14ac:dyDescent="0.25">
      <c r="A395" s="4" t="s">
        <v>477</v>
      </c>
      <c r="B395" s="34">
        <v>13.649999999999999</v>
      </c>
    </row>
    <row r="396" spans="1:2" x14ac:dyDescent="0.25">
      <c r="A396" s="4" t="s">
        <v>392</v>
      </c>
      <c r="B396" s="34">
        <v>13.649999999999999</v>
      </c>
    </row>
    <row r="397" spans="1:2" x14ac:dyDescent="0.25">
      <c r="A397" s="4" t="s">
        <v>571</v>
      </c>
      <c r="B397" s="34">
        <v>13.5</v>
      </c>
    </row>
    <row r="398" spans="1:2" x14ac:dyDescent="0.25">
      <c r="A398" s="4" t="s">
        <v>960</v>
      </c>
      <c r="B398" s="34">
        <v>13.5</v>
      </c>
    </row>
    <row r="399" spans="1:2" x14ac:dyDescent="0.25">
      <c r="A399" s="4" t="s">
        <v>872</v>
      </c>
      <c r="B399" s="34">
        <v>13.5</v>
      </c>
    </row>
    <row r="400" spans="1:2" x14ac:dyDescent="0.25">
      <c r="A400" s="4" t="s">
        <v>932</v>
      </c>
      <c r="B400" s="34">
        <v>13.200000000000001</v>
      </c>
    </row>
    <row r="401" spans="1:2" x14ac:dyDescent="0.25">
      <c r="A401" s="4" t="s">
        <v>856</v>
      </c>
      <c r="B401" s="34">
        <v>13.2</v>
      </c>
    </row>
    <row r="402" spans="1:2" x14ac:dyDescent="0.25">
      <c r="A402" s="4" t="s">
        <v>98</v>
      </c>
      <c r="B402" s="34">
        <v>13.2</v>
      </c>
    </row>
    <row r="403" spans="1:2" x14ac:dyDescent="0.25">
      <c r="A403" s="4" t="s">
        <v>327</v>
      </c>
      <c r="B403" s="34">
        <v>13.2</v>
      </c>
    </row>
    <row r="404" spans="1:2" x14ac:dyDescent="0.25">
      <c r="A404" s="4" t="s">
        <v>755</v>
      </c>
      <c r="B404" s="34">
        <v>13</v>
      </c>
    </row>
    <row r="405" spans="1:2" x14ac:dyDescent="0.25">
      <c r="A405" s="4" t="s">
        <v>775</v>
      </c>
      <c r="B405" s="34">
        <v>12.75</v>
      </c>
    </row>
    <row r="406" spans="1:2" x14ac:dyDescent="0.25">
      <c r="A406" s="4" t="s">
        <v>49</v>
      </c>
      <c r="B406" s="34">
        <v>12.75</v>
      </c>
    </row>
    <row r="407" spans="1:2" x14ac:dyDescent="0.25">
      <c r="A407" s="4" t="s">
        <v>406</v>
      </c>
      <c r="B407" s="34">
        <v>12.75</v>
      </c>
    </row>
    <row r="408" spans="1:2" x14ac:dyDescent="0.25">
      <c r="A408" s="4" t="s">
        <v>589</v>
      </c>
      <c r="B408" s="34">
        <v>12.75</v>
      </c>
    </row>
    <row r="409" spans="1:2" x14ac:dyDescent="0.25">
      <c r="A409" s="4" t="s">
        <v>798</v>
      </c>
      <c r="B409" s="34">
        <v>12.7</v>
      </c>
    </row>
    <row r="410" spans="1:2" x14ac:dyDescent="0.25">
      <c r="A410" s="4" t="s">
        <v>946</v>
      </c>
      <c r="B410" s="34">
        <v>12.600000000000001</v>
      </c>
    </row>
    <row r="411" spans="1:2" x14ac:dyDescent="0.25">
      <c r="A411" s="4" t="s">
        <v>352</v>
      </c>
      <c r="B411" s="34">
        <v>12.600000000000001</v>
      </c>
    </row>
    <row r="412" spans="1:2" x14ac:dyDescent="0.25">
      <c r="A412" s="4" t="s">
        <v>92</v>
      </c>
      <c r="B412" s="34">
        <v>12.600000000000001</v>
      </c>
    </row>
    <row r="413" spans="1:2" x14ac:dyDescent="0.25">
      <c r="A413" s="4" t="s">
        <v>159</v>
      </c>
      <c r="B413" s="34">
        <v>12.600000000000001</v>
      </c>
    </row>
    <row r="414" spans="1:2" x14ac:dyDescent="0.25">
      <c r="A414" s="4" t="s">
        <v>302</v>
      </c>
      <c r="B414" s="34">
        <v>12.600000000000001</v>
      </c>
    </row>
    <row r="415" spans="1:2" x14ac:dyDescent="0.25">
      <c r="A415" s="4" t="s">
        <v>950</v>
      </c>
      <c r="B415" s="34">
        <v>12.600000000000001</v>
      </c>
    </row>
    <row r="416" spans="1:2" x14ac:dyDescent="0.25">
      <c r="A416" s="4" t="s">
        <v>698</v>
      </c>
      <c r="B416" s="34">
        <v>12.600000000000001</v>
      </c>
    </row>
    <row r="417" spans="1:2" x14ac:dyDescent="0.25">
      <c r="A417" s="4" t="s">
        <v>854</v>
      </c>
      <c r="B417" s="34">
        <v>12.6</v>
      </c>
    </row>
    <row r="418" spans="1:2" x14ac:dyDescent="0.25">
      <c r="A418" s="4" t="s">
        <v>64</v>
      </c>
      <c r="B418" s="34">
        <v>12.5</v>
      </c>
    </row>
    <row r="419" spans="1:2" x14ac:dyDescent="0.25">
      <c r="A419" s="4" t="s">
        <v>777</v>
      </c>
      <c r="B419" s="34">
        <v>12.5</v>
      </c>
    </row>
    <row r="420" spans="1:2" x14ac:dyDescent="0.25">
      <c r="A420" s="4" t="s">
        <v>355</v>
      </c>
      <c r="B420" s="34">
        <v>12.5</v>
      </c>
    </row>
    <row r="421" spans="1:2" x14ac:dyDescent="0.25">
      <c r="A421" s="4" t="s">
        <v>695</v>
      </c>
      <c r="B421" s="34">
        <v>12.5</v>
      </c>
    </row>
    <row r="422" spans="1:2" x14ac:dyDescent="0.25">
      <c r="A422" s="4" t="s">
        <v>71</v>
      </c>
      <c r="B422" s="34">
        <v>11.9</v>
      </c>
    </row>
    <row r="423" spans="1:2" x14ac:dyDescent="0.25">
      <c r="A423" s="4" t="s">
        <v>803</v>
      </c>
      <c r="B423" s="34">
        <v>11.9</v>
      </c>
    </row>
    <row r="424" spans="1:2" x14ac:dyDescent="0.25">
      <c r="A424" s="4" t="s">
        <v>841</v>
      </c>
      <c r="B424" s="34">
        <v>11.9</v>
      </c>
    </row>
    <row r="425" spans="1:2" x14ac:dyDescent="0.25">
      <c r="A425" s="4" t="s">
        <v>824</v>
      </c>
      <c r="B425" s="34">
        <v>11.9</v>
      </c>
    </row>
    <row r="426" spans="1:2" x14ac:dyDescent="0.25">
      <c r="A426" s="4" t="s">
        <v>70</v>
      </c>
      <c r="B426" s="34">
        <v>11.8</v>
      </c>
    </row>
    <row r="427" spans="1:2" x14ac:dyDescent="0.25">
      <c r="A427" s="4" t="s">
        <v>140</v>
      </c>
      <c r="B427" s="34">
        <v>11.8</v>
      </c>
    </row>
    <row r="428" spans="1:2" x14ac:dyDescent="0.25">
      <c r="A428" s="4" t="s">
        <v>927</v>
      </c>
      <c r="B428" s="34">
        <v>11.8</v>
      </c>
    </row>
    <row r="429" spans="1:2" x14ac:dyDescent="0.25">
      <c r="A429" s="4" t="s">
        <v>590</v>
      </c>
      <c r="B429" s="34">
        <v>11.8</v>
      </c>
    </row>
    <row r="430" spans="1:2" x14ac:dyDescent="0.25">
      <c r="A430" s="4" t="s">
        <v>868</v>
      </c>
      <c r="B430" s="34">
        <v>11.8</v>
      </c>
    </row>
    <row r="431" spans="1:2" x14ac:dyDescent="0.25">
      <c r="A431" s="4" t="s">
        <v>213</v>
      </c>
      <c r="B431" s="34">
        <v>11.7</v>
      </c>
    </row>
    <row r="432" spans="1:2" x14ac:dyDescent="0.25">
      <c r="A432" s="4" t="s">
        <v>349</v>
      </c>
      <c r="B432" s="34">
        <v>11.399999999999999</v>
      </c>
    </row>
    <row r="433" spans="1:2" x14ac:dyDescent="0.25">
      <c r="A433" s="4" t="s">
        <v>127</v>
      </c>
      <c r="B433" s="34">
        <v>11.25</v>
      </c>
    </row>
    <row r="434" spans="1:2" x14ac:dyDescent="0.25">
      <c r="A434" s="4" t="s">
        <v>904</v>
      </c>
      <c r="B434" s="34">
        <v>11.25</v>
      </c>
    </row>
    <row r="435" spans="1:2" x14ac:dyDescent="0.25">
      <c r="A435" s="4" t="s">
        <v>720</v>
      </c>
      <c r="B435" s="34">
        <v>11.25</v>
      </c>
    </row>
    <row r="436" spans="1:2" x14ac:dyDescent="0.25">
      <c r="A436" s="4" t="s">
        <v>56</v>
      </c>
      <c r="B436" s="34">
        <v>11.25</v>
      </c>
    </row>
    <row r="437" spans="1:2" x14ac:dyDescent="0.25">
      <c r="A437" s="4" t="s">
        <v>973</v>
      </c>
      <c r="B437" s="34">
        <v>11.25</v>
      </c>
    </row>
    <row r="438" spans="1:2" x14ac:dyDescent="0.25">
      <c r="A438" s="4" t="s">
        <v>62</v>
      </c>
      <c r="B438" s="34">
        <v>11.049999999999999</v>
      </c>
    </row>
    <row r="439" spans="1:2" x14ac:dyDescent="0.25">
      <c r="A439" s="4" t="s">
        <v>227</v>
      </c>
      <c r="B439" s="34">
        <v>10.92</v>
      </c>
    </row>
    <row r="440" spans="1:2" x14ac:dyDescent="0.25">
      <c r="A440" s="4" t="s">
        <v>893</v>
      </c>
      <c r="B440" s="34">
        <v>10.75</v>
      </c>
    </row>
    <row r="441" spans="1:2" x14ac:dyDescent="0.25">
      <c r="A441" s="4" t="s">
        <v>767</v>
      </c>
      <c r="B441" s="34">
        <v>10.75</v>
      </c>
    </row>
    <row r="442" spans="1:2" x14ac:dyDescent="0.25">
      <c r="A442" s="4" t="s">
        <v>371</v>
      </c>
      <c r="B442" s="34">
        <v>10.65</v>
      </c>
    </row>
    <row r="443" spans="1:2" x14ac:dyDescent="0.25">
      <c r="A443" s="4" t="s">
        <v>74</v>
      </c>
      <c r="B443" s="34">
        <v>10.5</v>
      </c>
    </row>
    <row r="444" spans="1:2" x14ac:dyDescent="0.25">
      <c r="A444" s="4" t="s">
        <v>526</v>
      </c>
      <c r="B444" s="34">
        <v>10.5</v>
      </c>
    </row>
    <row r="445" spans="1:2" x14ac:dyDescent="0.25">
      <c r="A445" s="4" t="s">
        <v>271</v>
      </c>
      <c r="B445" s="34">
        <v>10.5</v>
      </c>
    </row>
    <row r="446" spans="1:2" x14ac:dyDescent="0.25">
      <c r="A446" s="4" t="s">
        <v>572</v>
      </c>
      <c r="B446" s="34">
        <v>10.5</v>
      </c>
    </row>
    <row r="447" spans="1:2" x14ac:dyDescent="0.25">
      <c r="A447" s="4" t="s">
        <v>287</v>
      </c>
      <c r="B447" s="34">
        <v>10.5</v>
      </c>
    </row>
    <row r="448" spans="1:2" x14ac:dyDescent="0.25">
      <c r="A448" s="4" t="s">
        <v>61</v>
      </c>
      <c r="B448" s="34">
        <v>10.5</v>
      </c>
    </row>
    <row r="449" spans="1:2" x14ac:dyDescent="0.25">
      <c r="A449" s="4" t="s">
        <v>326</v>
      </c>
      <c r="B449" s="34">
        <v>10.5</v>
      </c>
    </row>
    <row r="450" spans="1:2" x14ac:dyDescent="0.25">
      <c r="A450" s="4" t="s">
        <v>919</v>
      </c>
      <c r="B450" s="34">
        <v>10.5</v>
      </c>
    </row>
    <row r="451" spans="1:2" x14ac:dyDescent="0.25">
      <c r="A451" s="4" t="s">
        <v>746</v>
      </c>
      <c r="B451" s="34">
        <v>10.199999999999999</v>
      </c>
    </row>
    <row r="452" spans="1:2" x14ac:dyDescent="0.25">
      <c r="A452" s="4" t="s">
        <v>870</v>
      </c>
      <c r="B452" s="34">
        <v>10.199999999999999</v>
      </c>
    </row>
    <row r="453" spans="1:2" x14ac:dyDescent="0.25">
      <c r="A453" s="4" t="s">
        <v>186</v>
      </c>
      <c r="B453" s="34">
        <v>10.199999999999999</v>
      </c>
    </row>
    <row r="454" spans="1:2" x14ac:dyDescent="0.25">
      <c r="A454" s="4" t="s">
        <v>182</v>
      </c>
      <c r="B454" s="34">
        <v>10.199999999999999</v>
      </c>
    </row>
    <row r="455" spans="1:2" x14ac:dyDescent="0.25">
      <c r="A455" s="4" t="s">
        <v>805</v>
      </c>
      <c r="B455" s="34">
        <v>10.199999999999999</v>
      </c>
    </row>
    <row r="456" spans="1:2" x14ac:dyDescent="0.25">
      <c r="A456" s="4" t="s">
        <v>408</v>
      </c>
      <c r="B456" s="34">
        <v>10.199999999999999</v>
      </c>
    </row>
    <row r="457" spans="1:2" x14ac:dyDescent="0.25">
      <c r="A457" s="4" t="s">
        <v>569</v>
      </c>
      <c r="B457" s="34">
        <v>10.199999999999999</v>
      </c>
    </row>
    <row r="458" spans="1:2" x14ac:dyDescent="0.25">
      <c r="A458" s="4" t="s">
        <v>840</v>
      </c>
      <c r="B458" s="34">
        <v>10.199999999999999</v>
      </c>
    </row>
    <row r="459" spans="1:2" x14ac:dyDescent="0.25">
      <c r="A459" s="4" t="s">
        <v>407</v>
      </c>
      <c r="B459" s="34">
        <v>10.199999999999999</v>
      </c>
    </row>
    <row r="460" spans="1:2" x14ac:dyDescent="0.25">
      <c r="A460" s="4" t="s">
        <v>721</v>
      </c>
      <c r="B460" s="34">
        <v>10.199999999999999</v>
      </c>
    </row>
    <row r="461" spans="1:2" x14ac:dyDescent="0.25">
      <c r="A461" s="4" t="s">
        <v>926</v>
      </c>
      <c r="B461" s="34">
        <v>10.199999999999999</v>
      </c>
    </row>
    <row r="462" spans="1:2" x14ac:dyDescent="0.25">
      <c r="A462" s="4" t="s">
        <v>119</v>
      </c>
      <c r="B462" s="34">
        <v>10.199999999999999</v>
      </c>
    </row>
    <row r="463" spans="1:2" x14ac:dyDescent="0.25">
      <c r="A463" s="4" t="s">
        <v>93</v>
      </c>
      <c r="B463" s="34">
        <v>10.08</v>
      </c>
    </row>
    <row r="464" spans="1:2" x14ac:dyDescent="0.25">
      <c r="A464" s="4" t="s">
        <v>774</v>
      </c>
      <c r="B464" s="34">
        <v>10.08</v>
      </c>
    </row>
    <row r="465" spans="1:2" x14ac:dyDescent="0.25">
      <c r="A465" s="4" t="s">
        <v>448</v>
      </c>
      <c r="B465" s="34">
        <v>10.08</v>
      </c>
    </row>
    <row r="466" spans="1:2" x14ac:dyDescent="0.25">
      <c r="A466" s="4" t="s">
        <v>916</v>
      </c>
      <c r="B466" s="34">
        <v>10.08</v>
      </c>
    </row>
    <row r="467" spans="1:2" x14ac:dyDescent="0.25">
      <c r="A467" s="4" t="s">
        <v>555</v>
      </c>
      <c r="B467" s="34">
        <v>10.08</v>
      </c>
    </row>
    <row r="468" spans="1:2" x14ac:dyDescent="0.25">
      <c r="A468" s="4" t="s">
        <v>886</v>
      </c>
      <c r="B468" s="34">
        <v>10.08</v>
      </c>
    </row>
    <row r="469" spans="1:2" x14ac:dyDescent="0.25">
      <c r="A469" s="4" t="s">
        <v>625</v>
      </c>
      <c r="B469" s="34">
        <v>10.050000000000001</v>
      </c>
    </row>
    <row r="470" spans="1:2" x14ac:dyDescent="0.25">
      <c r="A470" s="4" t="s">
        <v>575</v>
      </c>
      <c r="B470" s="34">
        <v>9.9499999999999993</v>
      </c>
    </row>
    <row r="471" spans="1:2" x14ac:dyDescent="0.25">
      <c r="A471" s="4" t="s">
        <v>574</v>
      </c>
      <c r="B471" s="34">
        <v>9.9499999999999993</v>
      </c>
    </row>
    <row r="472" spans="1:2" x14ac:dyDescent="0.25">
      <c r="A472" s="4" t="s">
        <v>808</v>
      </c>
      <c r="B472" s="34">
        <v>9.9499999999999993</v>
      </c>
    </row>
    <row r="473" spans="1:2" x14ac:dyDescent="0.25">
      <c r="A473" s="4" t="s">
        <v>975</v>
      </c>
      <c r="B473" s="34">
        <v>9.9499999999999993</v>
      </c>
    </row>
    <row r="474" spans="1:2" x14ac:dyDescent="0.25">
      <c r="A474" s="4" t="s">
        <v>833</v>
      </c>
      <c r="B474" s="34">
        <v>9.9</v>
      </c>
    </row>
    <row r="475" spans="1:2" x14ac:dyDescent="0.25">
      <c r="A475" s="4" t="s">
        <v>785</v>
      </c>
      <c r="B475" s="34">
        <v>9.9</v>
      </c>
    </row>
    <row r="476" spans="1:2" x14ac:dyDescent="0.25">
      <c r="A476" s="4" t="s">
        <v>618</v>
      </c>
      <c r="B476" s="34">
        <v>9.9</v>
      </c>
    </row>
    <row r="477" spans="1:2" x14ac:dyDescent="0.25">
      <c r="A477" s="4" t="s">
        <v>480</v>
      </c>
      <c r="B477" s="34">
        <v>9.9</v>
      </c>
    </row>
    <row r="478" spans="1:2" x14ac:dyDescent="0.25">
      <c r="A478" s="4" t="s">
        <v>145</v>
      </c>
      <c r="B478" s="34">
        <v>9.9</v>
      </c>
    </row>
    <row r="479" spans="1:2" x14ac:dyDescent="0.25">
      <c r="A479" s="4" t="s">
        <v>35</v>
      </c>
      <c r="B479" s="34">
        <v>9.8999999999999986</v>
      </c>
    </row>
    <row r="480" spans="1:2" x14ac:dyDescent="0.25">
      <c r="A480" s="4" t="s">
        <v>476</v>
      </c>
      <c r="B480" s="34">
        <v>9.8999999999999986</v>
      </c>
    </row>
    <row r="481" spans="1:2" x14ac:dyDescent="0.25">
      <c r="A481" s="4" t="s">
        <v>908</v>
      </c>
      <c r="B481" s="34">
        <v>9.8999999999999986</v>
      </c>
    </row>
    <row r="482" spans="1:2" x14ac:dyDescent="0.25">
      <c r="A482" s="4" t="s">
        <v>435</v>
      </c>
      <c r="B482" s="34">
        <v>9.36</v>
      </c>
    </row>
    <row r="483" spans="1:2" x14ac:dyDescent="0.25">
      <c r="A483" s="4" t="s">
        <v>576</v>
      </c>
      <c r="B483" s="34">
        <v>9</v>
      </c>
    </row>
    <row r="484" spans="1:2" x14ac:dyDescent="0.25">
      <c r="A484" s="4" t="s">
        <v>332</v>
      </c>
      <c r="B484" s="34">
        <v>8.9499999999999993</v>
      </c>
    </row>
    <row r="485" spans="1:2" x14ac:dyDescent="0.25">
      <c r="A485" s="4" t="s">
        <v>668</v>
      </c>
      <c r="B485" s="34">
        <v>8.94</v>
      </c>
    </row>
    <row r="486" spans="1:2" x14ac:dyDescent="0.25">
      <c r="A486" s="4" t="s">
        <v>823</v>
      </c>
      <c r="B486" s="34">
        <v>8.8500000000000014</v>
      </c>
    </row>
    <row r="487" spans="1:2" x14ac:dyDescent="0.25">
      <c r="A487" s="4" t="s">
        <v>636</v>
      </c>
      <c r="B487" s="34">
        <v>8.8500000000000014</v>
      </c>
    </row>
    <row r="488" spans="1:2" x14ac:dyDescent="0.25">
      <c r="A488" s="4" t="s">
        <v>529</v>
      </c>
      <c r="B488" s="34">
        <v>8.8500000000000014</v>
      </c>
    </row>
    <row r="489" spans="1:2" x14ac:dyDescent="0.25">
      <c r="A489" s="4" t="s">
        <v>764</v>
      </c>
      <c r="B489" s="34">
        <v>8.8500000000000014</v>
      </c>
    </row>
    <row r="490" spans="1:2" x14ac:dyDescent="0.25">
      <c r="A490" s="4" t="s">
        <v>511</v>
      </c>
      <c r="B490" s="34">
        <v>8.64</v>
      </c>
    </row>
    <row r="491" spans="1:2" x14ac:dyDescent="0.25">
      <c r="A491" s="4" t="s">
        <v>509</v>
      </c>
      <c r="B491" s="34">
        <v>8.5</v>
      </c>
    </row>
    <row r="492" spans="1:2" x14ac:dyDescent="0.25">
      <c r="A492" s="4" t="s">
        <v>749</v>
      </c>
      <c r="B492" s="34">
        <v>8.5</v>
      </c>
    </row>
    <row r="493" spans="1:2" x14ac:dyDescent="0.25">
      <c r="A493" s="4" t="s">
        <v>954</v>
      </c>
      <c r="B493" s="34">
        <v>8.5</v>
      </c>
    </row>
    <row r="494" spans="1:2" x14ac:dyDescent="0.25">
      <c r="A494" s="4" t="s">
        <v>203</v>
      </c>
      <c r="B494" s="34">
        <v>8.5</v>
      </c>
    </row>
    <row r="495" spans="1:2" x14ac:dyDescent="0.25">
      <c r="A495" s="4" t="s">
        <v>766</v>
      </c>
      <c r="B495" s="34">
        <v>8.5</v>
      </c>
    </row>
    <row r="496" spans="1:2" x14ac:dyDescent="0.25">
      <c r="A496" s="4" t="s">
        <v>340</v>
      </c>
      <c r="B496" s="34">
        <v>8.4</v>
      </c>
    </row>
    <row r="497" spans="1:2" x14ac:dyDescent="0.25">
      <c r="A497" s="4" t="s">
        <v>29</v>
      </c>
      <c r="B497" s="34">
        <v>8.4</v>
      </c>
    </row>
    <row r="498" spans="1:2" x14ac:dyDescent="0.25">
      <c r="A498" s="4" t="s">
        <v>162</v>
      </c>
      <c r="B498" s="34">
        <v>8.4</v>
      </c>
    </row>
    <row r="499" spans="1:2" x14ac:dyDescent="0.25">
      <c r="A499" s="4" t="s">
        <v>170</v>
      </c>
      <c r="B499" s="34">
        <v>8.25</v>
      </c>
    </row>
    <row r="500" spans="1:2" x14ac:dyDescent="0.25">
      <c r="A500" s="4" t="s">
        <v>858</v>
      </c>
      <c r="B500" s="34">
        <v>8.25</v>
      </c>
    </row>
    <row r="501" spans="1:2" x14ac:dyDescent="0.25">
      <c r="A501" s="4" t="s">
        <v>817</v>
      </c>
      <c r="B501" s="34">
        <v>7.95</v>
      </c>
    </row>
    <row r="502" spans="1:2" x14ac:dyDescent="0.25">
      <c r="A502" s="4" t="s">
        <v>765</v>
      </c>
      <c r="B502" s="34">
        <v>7.8000000000000007</v>
      </c>
    </row>
    <row r="503" spans="1:2" x14ac:dyDescent="0.25">
      <c r="A503" s="4" t="s">
        <v>558</v>
      </c>
      <c r="B503" s="34">
        <v>7.8000000000000007</v>
      </c>
    </row>
    <row r="504" spans="1:2" x14ac:dyDescent="0.25">
      <c r="A504" s="4" t="s">
        <v>921</v>
      </c>
      <c r="B504" s="34">
        <v>7.8000000000000007</v>
      </c>
    </row>
    <row r="505" spans="1:2" x14ac:dyDescent="0.25">
      <c r="A505" s="4" t="s">
        <v>939</v>
      </c>
      <c r="B505" s="34">
        <v>7.8000000000000007</v>
      </c>
    </row>
    <row r="506" spans="1:2" x14ac:dyDescent="0.25">
      <c r="A506" s="4" t="s">
        <v>809</v>
      </c>
      <c r="B506" s="34">
        <v>7.8</v>
      </c>
    </row>
    <row r="507" spans="1:2" x14ac:dyDescent="0.25">
      <c r="A507" s="4" t="s">
        <v>547</v>
      </c>
      <c r="B507" s="34">
        <v>7.8</v>
      </c>
    </row>
    <row r="508" spans="1:2" x14ac:dyDescent="0.25">
      <c r="A508" s="4" t="s">
        <v>818</v>
      </c>
      <c r="B508" s="34">
        <v>7.6499999999999995</v>
      </c>
    </row>
    <row r="509" spans="1:2" x14ac:dyDescent="0.25">
      <c r="A509" s="4" t="s">
        <v>388</v>
      </c>
      <c r="B509" s="34">
        <v>7.6499999999999995</v>
      </c>
    </row>
    <row r="510" spans="1:2" x14ac:dyDescent="0.25">
      <c r="A510" s="4" t="s">
        <v>535</v>
      </c>
      <c r="B510" s="34">
        <v>7.5</v>
      </c>
    </row>
    <row r="511" spans="1:2" x14ac:dyDescent="0.25">
      <c r="A511" s="4" t="s">
        <v>710</v>
      </c>
      <c r="B511" s="34">
        <v>7.5</v>
      </c>
    </row>
    <row r="512" spans="1:2" x14ac:dyDescent="0.25">
      <c r="A512" s="4" t="s">
        <v>728</v>
      </c>
      <c r="B512" s="34">
        <v>7.5</v>
      </c>
    </row>
    <row r="513" spans="1:2" x14ac:dyDescent="0.25">
      <c r="A513" s="4" t="s">
        <v>228</v>
      </c>
      <c r="B513" s="34">
        <v>7.5</v>
      </c>
    </row>
    <row r="514" spans="1:2" x14ac:dyDescent="0.25">
      <c r="A514" s="4" t="s">
        <v>669</v>
      </c>
      <c r="B514" s="34">
        <v>7.5</v>
      </c>
    </row>
    <row r="515" spans="1:2" x14ac:dyDescent="0.25">
      <c r="A515" s="4" t="s">
        <v>52</v>
      </c>
      <c r="B515" s="34">
        <v>7.5</v>
      </c>
    </row>
    <row r="516" spans="1:2" x14ac:dyDescent="0.25">
      <c r="A516" s="4" t="s">
        <v>30</v>
      </c>
      <c r="B516" s="34">
        <v>7.49</v>
      </c>
    </row>
    <row r="517" spans="1:2" x14ac:dyDescent="0.25">
      <c r="A517" s="4" t="s">
        <v>121</v>
      </c>
      <c r="B517" s="34">
        <v>7.49</v>
      </c>
    </row>
    <row r="518" spans="1:2" x14ac:dyDescent="0.25">
      <c r="A518" s="4" t="s">
        <v>902</v>
      </c>
      <c r="B518" s="34">
        <v>6.95</v>
      </c>
    </row>
    <row r="519" spans="1:2" x14ac:dyDescent="0.25">
      <c r="A519" s="4" t="s">
        <v>783</v>
      </c>
      <c r="B519" s="34">
        <v>6.95</v>
      </c>
    </row>
    <row r="520" spans="1:2" x14ac:dyDescent="0.25">
      <c r="A520" s="4" t="s">
        <v>548</v>
      </c>
      <c r="B520" s="34">
        <v>6.95</v>
      </c>
    </row>
    <row r="521" spans="1:2" x14ac:dyDescent="0.25">
      <c r="A521" s="4" t="s">
        <v>692</v>
      </c>
      <c r="B521" s="34">
        <v>6.8</v>
      </c>
    </row>
    <row r="522" spans="1:2" x14ac:dyDescent="0.25">
      <c r="A522" s="4" t="s">
        <v>804</v>
      </c>
      <c r="B522" s="34">
        <v>6.8</v>
      </c>
    </row>
    <row r="523" spans="1:2" x14ac:dyDescent="0.25">
      <c r="A523" s="4" t="s">
        <v>944</v>
      </c>
      <c r="B523" s="34">
        <v>6.75</v>
      </c>
    </row>
    <row r="524" spans="1:2" x14ac:dyDescent="0.25">
      <c r="A524" s="4" t="s">
        <v>583</v>
      </c>
      <c r="B524" s="34">
        <v>6.75</v>
      </c>
    </row>
    <row r="525" spans="1:2" x14ac:dyDescent="0.25">
      <c r="A525" s="4" t="s">
        <v>700</v>
      </c>
      <c r="B525" s="34">
        <v>6.72</v>
      </c>
    </row>
    <row r="526" spans="1:2" x14ac:dyDescent="0.25">
      <c r="A526" s="4" t="s">
        <v>379</v>
      </c>
      <c r="B526" s="34">
        <v>6.72</v>
      </c>
    </row>
    <row r="527" spans="1:2" x14ac:dyDescent="0.25">
      <c r="A527" s="4" t="s">
        <v>552</v>
      </c>
      <c r="B527" s="34">
        <v>6.35</v>
      </c>
    </row>
    <row r="528" spans="1:2" x14ac:dyDescent="0.25">
      <c r="A528" s="4" t="s">
        <v>608</v>
      </c>
      <c r="B528" s="34">
        <v>6.35</v>
      </c>
    </row>
    <row r="529" spans="1:2" x14ac:dyDescent="0.25">
      <c r="A529" s="4" t="s">
        <v>189</v>
      </c>
      <c r="B529" s="34">
        <v>6.3000000000000007</v>
      </c>
    </row>
    <row r="530" spans="1:2" x14ac:dyDescent="0.25">
      <c r="A530" s="4" t="s">
        <v>531</v>
      </c>
      <c r="B530" s="34">
        <v>6.3000000000000007</v>
      </c>
    </row>
    <row r="531" spans="1:2" x14ac:dyDescent="0.25">
      <c r="A531" s="4" t="s">
        <v>368</v>
      </c>
      <c r="B531" s="34">
        <v>6.3000000000000007</v>
      </c>
    </row>
    <row r="532" spans="1:2" x14ac:dyDescent="0.25">
      <c r="A532" s="4" t="s">
        <v>637</v>
      </c>
      <c r="B532" s="34">
        <v>6.3000000000000007</v>
      </c>
    </row>
    <row r="533" spans="1:2" x14ac:dyDescent="0.25">
      <c r="A533" s="4" t="s">
        <v>961</v>
      </c>
      <c r="B533" s="34">
        <v>6.3</v>
      </c>
    </row>
    <row r="534" spans="1:2" x14ac:dyDescent="0.25">
      <c r="A534" s="4" t="s">
        <v>826</v>
      </c>
      <c r="B534" s="34">
        <v>6.25</v>
      </c>
    </row>
    <row r="535" spans="1:2" x14ac:dyDescent="0.25">
      <c r="A535" s="4" t="s">
        <v>301</v>
      </c>
      <c r="B535" s="34">
        <v>5.95</v>
      </c>
    </row>
    <row r="536" spans="1:2" x14ac:dyDescent="0.25">
      <c r="A536" s="4" t="s">
        <v>541</v>
      </c>
      <c r="B536" s="34">
        <v>5.95</v>
      </c>
    </row>
    <row r="537" spans="1:2" x14ac:dyDescent="0.25">
      <c r="A537" s="4" t="s">
        <v>633</v>
      </c>
      <c r="B537" s="34">
        <v>5.95</v>
      </c>
    </row>
    <row r="538" spans="1:2" x14ac:dyDescent="0.25">
      <c r="A538" s="4" t="s">
        <v>375</v>
      </c>
      <c r="B538" s="34">
        <v>5.95</v>
      </c>
    </row>
    <row r="539" spans="1:2" x14ac:dyDescent="0.25">
      <c r="A539" s="4" t="s">
        <v>398</v>
      </c>
      <c r="B539" s="34">
        <v>5.95</v>
      </c>
    </row>
    <row r="540" spans="1:2" x14ac:dyDescent="0.25">
      <c r="A540" s="4" t="s">
        <v>307</v>
      </c>
      <c r="B540" s="34">
        <v>5.9</v>
      </c>
    </row>
    <row r="541" spans="1:2" x14ac:dyDescent="0.25">
      <c r="A541" s="4" t="s">
        <v>91</v>
      </c>
      <c r="B541" s="34">
        <v>5.9</v>
      </c>
    </row>
    <row r="542" spans="1:2" x14ac:dyDescent="0.25">
      <c r="A542" s="4" t="s">
        <v>65</v>
      </c>
      <c r="B542" s="34">
        <v>5.9</v>
      </c>
    </row>
    <row r="543" spans="1:2" x14ac:dyDescent="0.25">
      <c r="A543" s="4" t="s">
        <v>642</v>
      </c>
      <c r="B543" s="34">
        <v>5.9</v>
      </c>
    </row>
    <row r="544" spans="1:2" x14ac:dyDescent="0.25">
      <c r="A544" s="4" t="s">
        <v>672</v>
      </c>
      <c r="B544" s="34">
        <v>5.9</v>
      </c>
    </row>
    <row r="545" spans="1:2" x14ac:dyDescent="0.25">
      <c r="A545" s="4" t="s">
        <v>722</v>
      </c>
      <c r="B545" s="34">
        <v>5.9</v>
      </c>
    </row>
    <row r="546" spans="1:2" x14ac:dyDescent="0.25">
      <c r="A546" s="4" t="s">
        <v>290</v>
      </c>
      <c r="B546" s="34">
        <v>5.9</v>
      </c>
    </row>
    <row r="547" spans="1:2" x14ac:dyDescent="0.25">
      <c r="A547" s="4" t="s">
        <v>23</v>
      </c>
      <c r="B547" s="34">
        <v>5.85</v>
      </c>
    </row>
    <row r="548" spans="1:2" x14ac:dyDescent="0.25">
      <c r="A548" s="4" t="s">
        <v>324</v>
      </c>
      <c r="B548" s="34">
        <v>5.85</v>
      </c>
    </row>
    <row r="549" spans="1:2" x14ac:dyDescent="0.25">
      <c r="A549" s="4" t="s">
        <v>226</v>
      </c>
      <c r="B549" s="34">
        <v>5.8</v>
      </c>
    </row>
    <row r="550" spans="1:2" x14ac:dyDescent="0.25">
      <c r="A550" s="4" t="s">
        <v>651</v>
      </c>
      <c r="B550" s="34">
        <v>5.8</v>
      </c>
    </row>
    <row r="551" spans="1:2" x14ac:dyDescent="0.25">
      <c r="A551" s="4" t="s">
        <v>556</v>
      </c>
      <c r="B551" s="34">
        <v>5.8</v>
      </c>
    </row>
    <row r="552" spans="1:2" x14ac:dyDescent="0.25">
      <c r="A552" s="4" t="s">
        <v>549</v>
      </c>
      <c r="B552" s="34">
        <v>5.0999999999999996</v>
      </c>
    </row>
    <row r="553" spans="1:2" x14ac:dyDescent="0.25">
      <c r="A553" s="4" t="s">
        <v>619</v>
      </c>
      <c r="B553" s="34">
        <v>5.0999999999999996</v>
      </c>
    </row>
    <row r="554" spans="1:2" x14ac:dyDescent="0.25">
      <c r="A554" s="4" t="s">
        <v>644</v>
      </c>
      <c r="B554" s="34">
        <v>5.0999999999999996</v>
      </c>
    </row>
    <row r="555" spans="1:2" x14ac:dyDescent="0.25">
      <c r="A555" s="4" t="s">
        <v>430</v>
      </c>
      <c r="B555" s="34">
        <v>5.0999999999999996</v>
      </c>
    </row>
    <row r="556" spans="1:2" x14ac:dyDescent="0.25">
      <c r="A556" s="4" t="s">
        <v>696</v>
      </c>
      <c r="B556" s="34">
        <v>5.0999999999999996</v>
      </c>
    </row>
    <row r="557" spans="1:2" x14ac:dyDescent="0.25">
      <c r="A557" s="4" t="s">
        <v>337</v>
      </c>
      <c r="B557" s="34">
        <v>5.04</v>
      </c>
    </row>
    <row r="558" spans="1:2" x14ac:dyDescent="0.25">
      <c r="A558" s="4" t="s">
        <v>181</v>
      </c>
      <c r="B558" s="34">
        <v>5.04</v>
      </c>
    </row>
    <row r="559" spans="1:2" x14ac:dyDescent="0.25">
      <c r="A559" s="4" t="s">
        <v>165</v>
      </c>
      <c r="B559" s="34">
        <v>5.04</v>
      </c>
    </row>
    <row r="560" spans="1:2" x14ac:dyDescent="0.25">
      <c r="A560" s="4" t="s">
        <v>693</v>
      </c>
      <c r="B560" s="34">
        <v>5</v>
      </c>
    </row>
    <row r="561" spans="1:2" x14ac:dyDescent="0.25">
      <c r="A561" s="4" t="s">
        <v>835</v>
      </c>
      <c r="B561" s="34">
        <v>5</v>
      </c>
    </row>
    <row r="562" spans="1:2" x14ac:dyDescent="0.25">
      <c r="A562" s="4" t="s">
        <v>593</v>
      </c>
      <c r="B562" s="34">
        <v>5</v>
      </c>
    </row>
    <row r="563" spans="1:2" x14ac:dyDescent="0.25">
      <c r="A563" s="4" t="s">
        <v>405</v>
      </c>
      <c r="B563" s="34">
        <v>5</v>
      </c>
    </row>
    <row r="564" spans="1:2" x14ac:dyDescent="0.25">
      <c r="A564" s="4" t="s">
        <v>463</v>
      </c>
      <c r="B564" s="34">
        <v>5</v>
      </c>
    </row>
    <row r="565" spans="1:2" x14ac:dyDescent="0.25">
      <c r="A565" s="4" t="s">
        <v>201</v>
      </c>
      <c r="B565" s="34">
        <v>5</v>
      </c>
    </row>
    <row r="566" spans="1:2" x14ac:dyDescent="0.25">
      <c r="A566" s="4" t="s">
        <v>844</v>
      </c>
      <c r="B566" s="34">
        <v>5</v>
      </c>
    </row>
    <row r="567" spans="1:2" x14ac:dyDescent="0.25">
      <c r="A567" s="4" t="s">
        <v>941</v>
      </c>
      <c r="B567" s="34">
        <v>5</v>
      </c>
    </row>
    <row r="568" spans="1:2" x14ac:dyDescent="0.25">
      <c r="A568" s="4" t="s">
        <v>750</v>
      </c>
      <c r="B568" s="34">
        <v>4.95</v>
      </c>
    </row>
    <row r="569" spans="1:2" x14ac:dyDescent="0.25">
      <c r="A569" s="4" t="s">
        <v>679</v>
      </c>
      <c r="B569" s="34">
        <v>4.95</v>
      </c>
    </row>
    <row r="570" spans="1:2" x14ac:dyDescent="0.25">
      <c r="A570" s="4" t="s">
        <v>814</v>
      </c>
      <c r="B570" s="34">
        <v>4.9499999999999993</v>
      </c>
    </row>
    <row r="571" spans="1:2" x14ac:dyDescent="0.25">
      <c r="A571" s="4" t="s">
        <v>208</v>
      </c>
      <c r="B571" s="34">
        <v>4.6500000000000004</v>
      </c>
    </row>
    <row r="572" spans="1:2" x14ac:dyDescent="0.25">
      <c r="A572" s="4" t="s">
        <v>879</v>
      </c>
      <c r="B572" s="34">
        <v>4.3499999999999996</v>
      </c>
    </row>
    <row r="573" spans="1:2" x14ac:dyDescent="0.25">
      <c r="A573" s="4" t="s">
        <v>713</v>
      </c>
      <c r="B573" s="34">
        <v>4.25</v>
      </c>
    </row>
    <row r="574" spans="1:2" x14ac:dyDescent="0.25">
      <c r="A574" s="4" t="s">
        <v>207</v>
      </c>
      <c r="B574" s="34">
        <v>4.25</v>
      </c>
    </row>
    <row r="575" spans="1:2" x14ac:dyDescent="0.25">
      <c r="A575" s="4" t="s">
        <v>726</v>
      </c>
      <c r="B575" s="34">
        <v>4.25</v>
      </c>
    </row>
    <row r="576" spans="1:2" x14ac:dyDescent="0.25">
      <c r="A576" s="4" t="s">
        <v>873</v>
      </c>
      <c r="B576" s="34">
        <v>4.25</v>
      </c>
    </row>
    <row r="577" spans="1:2" x14ac:dyDescent="0.25">
      <c r="A577" s="4" t="s">
        <v>359</v>
      </c>
      <c r="B577" s="34">
        <v>4.25</v>
      </c>
    </row>
    <row r="578" spans="1:2" x14ac:dyDescent="0.25">
      <c r="A578" s="4" t="s">
        <v>582</v>
      </c>
      <c r="B578" s="34">
        <v>4.2</v>
      </c>
    </row>
    <row r="579" spans="1:2" x14ac:dyDescent="0.25">
      <c r="A579" s="4" t="s">
        <v>665</v>
      </c>
      <c r="B579" s="34">
        <v>4.2</v>
      </c>
    </row>
    <row r="580" spans="1:2" x14ac:dyDescent="0.25">
      <c r="A580" s="4" t="s">
        <v>317</v>
      </c>
      <c r="B580" s="34">
        <v>4.2</v>
      </c>
    </row>
    <row r="581" spans="1:2" x14ac:dyDescent="0.25">
      <c r="A581" s="4" t="s">
        <v>95</v>
      </c>
      <c r="B581" s="34">
        <v>4.2</v>
      </c>
    </row>
    <row r="582" spans="1:2" x14ac:dyDescent="0.25">
      <c r="A582" s="4" t="s">
        <v>281</v>
      </c>
      <c r="B582" s="34">
        <v>4.2</v>
      </c>
    </row>
    <row r="583" spans="1:2" x14ac:dyDescent="0.25">
      <c r="A583" s="4" t="s">
        <v>675</v>
      </c>
      <c r="B583" s="34">
        <v>4.2</v>
      </c>
    </row>
    <row r="584" spans="1:2" x14ac:dyDescent="0.25">
      <c r="A584" s="4" t="s">
        <v>506</v>
      </c>
      <c r="B584" s="34">
        <v>3.95</v>
      </c>
    </row>
    <row r="585" spans="1:2" x14ac:dyDescent="0.25">
      <c r="A585" s="4" t="s">
        <v>19</v>
      </c>
      <c r="B585" s="34">
        <v>3.9</v>
      </c>
    </row>
    <row r="586" spans="1:2" x14ac:dyDescent="0.25">
      <c r="A586" s="4" t="s">
        <v>911</v>
      </c>
      <c r="B586" s="34">
        <v>3.9</v>
      </c>
    </row>
    <row r="587" spans="1:2" x14ac:dyDescent="0.25">
      <c r="A587" s="4" t="s">
        <v>953</v>
      </c>
      <c r="B587" s="34">
        <v>3.8</v>
      </c>
    </row>
    <row r="588" spans="1:2" x14ac:dyDescent="0.25">
      <c r="A588" s="4" t="s">
        <v>156</v>
      </c>
      <c r="B588" s="34">
        <v>3.75</v>
      </c>
    </row>
    <row r="589" spans="1:2" x14ac:dyDescent="0.25">
      <c r="A589" s="4" t="s">
        <v>561</v>
      </c>
      <c r="B589" s="34">
        <v>3.75</v>
      </c>
    </row>
    <row r="590" spans="1:2" x14ac:dyDescent="0.25">
      <c r="A590" s="4" t="s">
        <v>834</v>
      </c>
      <c r="B590" s="34">
        <v>3.75</v>
      </c>
    </row>
    <row r="591" spans="1:2" x14ac:dyDescent="0.25">
      <c r="A591" s="4" t="s">
        <v>546</v>
      </c>
      <c r="B591" s="34">
        <v>3.75</v>
      </c>
    </row>
    <row r="592" spans="1:2" x14ac:dyDescent="0.25">
      <c r="A592" s="4" t="s">
        <v>863</v>
      </c>
      <c r="B592" s="34">
        <v>3.75</v>
      </c>
    </row>
    <row r="593" spans="1:2" x14ac:dyDescent="0.25">
      <c r="A593" s="4" t="s">
        <v>959</v>
      </c>
      <c r="B593" s="34">
        <v>3.75</v>
      </c>
    </row>
    <row r="594" spans="1:2" x14ac:dyDescent="0.25">
      <c r="A594" s="4" t="s">
        <v>827</v>
      </c>
      <c r="B594" s="34">
        <v>3.75</v>
      </c>
    </row>
    <row r="595" spans="1:2" x14ac:dyDescent="0.25">
      <c r="A595" s="4" t="s">
        <v>796</v>
      </c>
      <c r="B595" s="34">
        <v>3.75</v>
      </c>
    </row>
    <row r="596" spans="1:2" x14ac:dyDescent="0.25">
      <c r="A596" s="4" t="s">
        <v>466</v>
      </c>
      <c r="B596" s="34">
        <v>3.75</v>
      </c>
    </row>
    <row r="597" spans="1:2" x14ac:dyDescent="0.25">
      <c r="A597" s="4" t="s">
        <v>967</v>
      </c>
      <c r="B597" s="34">
        <v>3.75</v>
      </c>
    </row>
    <row r="598" spans="1:2" x14ac:dyDescent="0.25">
      <c r="A598" s="4" t="s">
        <v>763</v>
      </c>
      <c r="B598" s="34">
        <v>3.75</v>
      </c>
    </row>
    <row r="599" spans="1:2" x14ac:dyDescent="0.25">
      <c r="A599" s="4" t="s">
        <v>76</v>
      </c>
      <c r="B599" s="34">
        <v>3.75</v>
      </c>
    </row>
    <row r="600" spans="1:2" x14ac:dyDescent="0.25">
      <c r="A600" s="4" t="s">
        <v>882</v>
      </c>
      <c r="B600" s="34">
        <v>3.75</v>
      </c>
    </row>
    <row r="601" spans="1:2" x14ac:dyDescent="0.25">
      <c r="A601" s="4" t="s">
        <v>83</v>
      </c>
      <c r="B601" s="34">
        <v>3.75</v>
      </c>
    </row>
    <row r="602" spans="1:2" x14ac:dyDescent="0.25">
      <c r="A602" s="4" t="s">
        <v>735</v>
      </c>
      <c r="B602" s="34">
        <v>3.4799999999999995</v>
      </c>
    </row>
    <row r="603" spans="1:2" x14ac:dyDescent="0.25">
      <c r="A603" s="4" t="s">
        <v>685</v>
      </c>
      <c r="B603" s="34">
        <v>3.4</v>
      </c>
    </row>
    <row r="604" spans="1:2" x14ac:dyDescent="0.25">
      <c r="A604" s="4" t="s">
        <v>517</v>
      </c>
      <c r="B604" s="34">
        <v>3.4</v>
      </c>
    </row>
    <row r="605" spans="1:2" x14ac:dyDescent="0.25">
      <c r="A605" s="4" t="s">
        <v>249</v>
      </c>
      <c r="B605" s="34">
        <v>3.4</v>
      </c>
    </row>
    <row r="606" spans="1:2" x14ac:dyDescent="0.25">
      <c r="A606" s="4" t="s">
        <v>551</v>
      </c>
      <c r="B606" s="34">
        <v>3.4</v>
      </c>
    </row>
    <row r="607" spans="1:2" x14ac:dyDescent="0.25">
      <c r="A607" s="4" t="s">
        <v>308</v>
      </c>
      <c r="B607" s="34">
        <v>3.4</v>
      </c>
    </row>
    <row r="608" spans="1:2" x14ac:dyDescent="0.25">
      <c r="A608" s="4" t="s">
        <v>772</v>
      </c>
      <c r="B608" s="34">
        <v>3.4</v>
      </c>
    </row>
    <row r="609" spans="1:2" x14ac:dyDescent="0.25">
      <c r="A609" s="4" t="s">
        <v>462</v>
      </c>
      <c r="B609" s="34">
        <v>3.38</v>
      </c>
    </row>
    <row r="610" spans="1:2" x14ac:dyDescent="0.25">
      <c r="A610" s="4" t="s">
        <v>947</v>
      </c>
      <c r="B610" s="34">
        <v>3.35</v>
      </c>
    </row>
    <row r="611" spans="1:2" x14ac:dyDescent="0.25">
      <c r="A611" s="4" t="s">
        <v>725</v>
      </c>
      <c r="B611" s="34">
        <v>3.3000000000000003</v>
      </c>
    </row>
    <row r="612" spans="1:2" x14ac:dyDescent="0.25">
      <c r="A612" s="4" t="s">
        <v>969</v>
      </c>
      <c r="B612" s="34">
        <v>3.3000000000000003</v>
      </c>
    </row>
    <row r="613" spans="1:2" x14ac:dyDescent="0.25">
      <c r="A613" s="4" t="s">
        <v>69</v>
      </c>
      <c r="B613" s="34">
        <v>3.3</v>
      </c>
    </row>
    <row r="614" spans="1:2" x14ac:dyDescent="0.25">
      <c r="A614" s="4" t="s">
        <v>906</v>
      </c>
      <c r="B614" s="34">
        <v>3.3</v>
      </c>
    </row>
    <row r="615" spans="1:2" x14ac:dyDescent="0.25">
      <c r="A615" s="4" t="s">
        <v>928</v>
      </c>
      <c r="B615" s="34">
        <v>3.3</v>
      </c>
    </row>
    <row r="616" spans="1:2" x14ac:dyDescent="0.25">
      <c r="A616" s="4" t="s">
        <v>166</v>
      </c>
      <c r="B616" s="34">
        <v>3.3</v>
      </c>
    </row>
    <row r="617" spans="1:2" x14ac:dyDescent="0.25">
      <c r="A617" s="4" t="s">
        <v>680</v>
      </c>
      <c r="B617" s="34">
        <v>3.3</v>
      </c>
    </row>
    <row r="618" spans="1:2" x14ac:dyDescent="0.25">
      <c r="A618" s="4" t="s">
        <v>394</v>
      </c>
      <c r="B618" s="34">
        <v>3.3</v>
      </c>
    </row>
    <row r="619" spans="1:2" x14ac:dyDescent="0.25">
      <c r="A619" s="4" t="s">
        <v>598</v>
      </c>
      <c r="B619" s="34">
        <v>3.3</v>
      </c>
    </row>
    <row r="620" spans="1:2" x14ac:dyDescent="0.25">
      <c r="A620" s="4" t="s">
        <v>123</v>
      </c>
      <c r="B620" s="34">
        <v>3.3</v>
      </c>
    </row>
    <row r="621" spans="1:2" x14ac:dyDescent="0.25">
      <c r="A621" s="4" t="s">
        <v>420</v>
      </c>
      <c r="B621" s="34">
        <v>3.3</v>
      </c>
    </row>
    <row r="622" spans="1:2" x14ac:dyDescent="0.25">
      <c r="A622" s="4" t="s">
        <v>320</v>
      </c>
      <c r="B622" s="34">
        <v>2.95</v>
      </c>
    </row>
    <row r="623" spans="1:2" x14ac:dyDescent="0.25">
      <c r="A623" s="4" t="s">
        <v>842</v>
      </c>
      <c r="B623" s="34">
        <v>2.95</v>
      </c>
    </row>
    <row r="624" spans="1:2" x14ac:dyDescent="0.25">
      <c r="A624" s="4" t="s">
        <v>900</v>
      </c>
      <c r="B624" s="34">
        <v>2.95</v>
      </c>
    </row>
    <row r="625" spans="1:2" x14ac:dyDescent="0.25">
      <c r="A625" s="4" t="s">
        <v>724</v>
      </c>
      <c r="B625" s="34">
        <v>2.95</v>
      </c>
    </row>
    <row r="626" spans="1:2" x14ac:dyDescent="0.25">
      <c r="A626" s="4" t="s">
        <v>334</v>
      </c>
      <c r="B626" s="34">
        <v>2.95</v>
      </c>
    </row>
    <row r="627" spans="1:2" x14ac:dyDescent="0.25">
      <c r="A627" s="4" t="s">
        <v>756</v>
      </c>
      <c r="B627" s="34">
        <v>2.95</v>
      </c>
    </row>
    <row r="628" spans="1:2" x14ac:dyDescent="0.25">
      <c r="A628" s="4" t="s">
        <v>528</v>
      </c>
      <c r="B628" s="34">
        <v>2.95</v>
      </c>
    </row>
    <row r="629" spans="1:2" x14ac:dyDescent="0.25">
      <c r="A629" s="4" t="s">
        <v>888</v>
      </c>
      <c r="B629" s="34">
        <v>2.95</v>
      </c>
    </row>
    <row r="630" spans="1:2" x14ac:dyDescent="0.25">
      <c r="A630" s="4" t="s">
        <v>627</v>
      </c>
      <c r="B630" s="34">
        <v>2.94</v>
      </c>
    </row>
    <row r="631" spans="1:2" x14ac:dyDescent="0.25">
      <c r="A631" s="4" t="s">
        <v>605</v>
      </c>
      <c r="B631" s="34">
        <v>2.9</v>
      </c>
    </row>
    <row r="632" spans="1:2" x14ac:dyDescent="0.25">
      <c r="A632" s="4" t="s">
        <v>387</v>
      </c>
      <c r="B632" s="34">
        <v>2.9</v>
      </c>
    </row>
    <row r="633" spans="1:2" x14ac:dyDescent="0.25">
      <c r="A633" s="4" t="s">
        <v>414</v>
      </c>
      <c r="B633" s="34">
        <v>2.8499999999999996</v>
      </c>
    </row>
    <row r="634" spans="1:2" x14ac:dyDescent="0.25">
      <c r="A634" s="4" t="s">
        <v>806</v>
      </c>
      <c r="B634" s="34">
        <v>2.6</v>
      </c>
    </row>
    <row r="635" spans="1:2" x14ac:dyDescent="0.25">
      <c r="A635" s="4" t="s">
        <v>289</v>
      </c>
      <c r="B635" s="34">
        <v>2.5499999999999998</v>
      </c>
    </row>
    <row r="636" spans="1:2" x14ac:dyDescent="0.25">
      <c r="A636" s="4" t="s">
        <v>731</v>
      </c>
      <c r="B636" s="34">
        <v>2.5499999999999998</v>
      </c>
    </row>
    <row r="637" spans="1:2" x14ac:dyDescent="0.25">
      <c r="A637" s="4" t="s">
        <v>470</v>
      </c>
      <c r="B637" s="34">
        <v>2.5499999999999998</v>
      </c>
    </row>
    <row r="638" spans="1:2" x14ac:dyDescent="0.25">
      <c r="A638" s="4" t="s">
        <v>500</v>
      </c>
      <c r="B638" s="34">
        <v>2.5499999999999998</v>
      </c>
    </row>
    <row r="639" spans="1:2" x14ac:dyDescent="0.25">
      <c r="A639" s="4" t="s">
        <v>513</v>
      </c>
      <c r="B639" s="34">
        <v>2.5499999999999998</v>
      </c>
    </row>
    <row r="640" spans="1:2" x14ac:dyDescent="0.25">
      <c r="A640" s="4" t="s">
        <v>306</v>
      </c>
      <c r="B640" s="34">
        <v>2.5499999999999998</v>
      </c>
    </row>
    <row r="641" spans="1:2" x14ac:dyDescent="0.25">
      <c r="A641" s="4" t="s">
        <v>457</v>
      </c>
      <c r="B641" s="34">
        <v>2.5499999999999998</v>
      </c>
    </row>
    <row r="642" spans="1:2" x14ac:dyDescent="0.25">
      <c r="A642" s="4" t="s">
        <v>895</v>
      </c>
      <c r="B642" s="34">
        <v>2.5499999999999998</v>
      </c>
    </row>
    <row r="643" spans="1:2" x14ac:dyDescent="0.25">
      <c r="A643" s="4" t="s">
        <v>727</v>
      </c>
      <c r="B643" s="34">
        <v>2.5</v>
      </c>
    </row>
    <row r="644" spans="1:2" x14ac:dyDescent="0.25">
      <c r="A644" s="4" t="s">
        <v>432</v>
      </c>
      <c r="B644" s="34">
        <v>2.5</v>
      </c>
    </row>
    <row r="645" spans="1:2" x14ac:dyDescent="0.25">
      <c r="A645" s="4" t="s">
        <v>955</v>
      </c>
      <c r="B645" s="34">
        <v>2.5</v>
      </c>
    </row>
    <row r="646" spans="1:2" x14ac:dyDescent="0.25">
      <c r="A646" s="4" t="s">
        <v>634</v>
      </c>
      <c r="B646" s="34">
        <v>2.5</v>
      </c>
    </row>
    <row r="647" spans="1:2" x14ac:dyDescent="0.25">
      <c r="A647" s="4" t="s">
        <v>325</v>
      </c>
      <c r="B647" s="34">
        <v>2.5</v>
      </c>
    </row>
    <row r="648" spans="1:2" x14ac:dyDescent="0.25">
      <c r="A648" s="4" t="s">
        <v>467</v>
      </c>
      <c r="B648" s="34">
        <v>2.5</v>
      </c>
    </row>
    <row r="649" spans="1:2" x14ac:dyDescent="0.25">
      <c r="A649" s="4" t="s">
        <v>502</v>
      </c>
      <c r="B649" s="34">
        <v>2.5</v>
      </c>
    </row>
    <row r="650" spans="1:2" x14ac:dyDescent="0.25">
      <c r="A650" s="4" t="s">
        <v>504</v>
      </c>
      <c r="B650" s="34">
        <v>2.5</v>
      </c>
    </row>
    <row r="651" spans="1:2" x14ac:dyDescent="0.25">
      <c r="A651" s="4" t="s">
        <v>681</v>
      </c>
      <c r="B651" s="34">
        <v>2.5</v>
      </c>
    </row>
    <row r="652" spans="1:2" x14ac:dyDescent="0.25">
      <c r="A652" s="4" t="s">
        <v>310</v>
      </c>
      <c r="B652" s="34">
        <v>2.5</v>
      </c>
    </row>
    <row r="653" spans="1:2" x14ac:dyDescent="0.25">
      <c r="A653" s="4" t="s">
        <v>465</v>
      </c>
      <c r="B653" s="34">
        <v>2.5</v>
      </c>
    </row>
    <row r="654" spans="1:2" x14ac:dyDescent="0.25">
      <c r="A654" s="4" t="s">
        <v>537</v>
      </c>
      <c r="B654" s="34">
        <v>2.25</v>
      </c>
    </row>
    <row r="655" spans="1:2" x14ac:dyDescent="0.25">
      <c r="A655" s="4" t="s">
        <v>945</v>
      </c>
      <c r="B655" s="34">
        <v>2.2000000000000002</v>
      </c>
    </row>
    <row r="656" spans="1:2" x14ac:dyDescent="0.25">
      <c r="A656" s="4" t="s">
        <v>117</v>
      </c>
      <c r="B656" s="34">
        <v>2.1</v>
      </c>
    </row>
    <row r="657" spans="1:2" x14ac:dyDescent="0.25">
      <c r="A657" s="4" t="s">
        <v>475</v>
      </c>
      <c r="B657" s="34">
        <v>2.1</v>
      </c>
    </row>
    <row r="658" spans="1:2" x14ac:dyDescent="0.25">
      <c r="A658" s="4" t="s">
        <v>152</v>
      </c>
      <c r="B658" s="34">
        <v>2.1</v>
      </c>
    </row>
    <row r="659" spans="1:2" x14ac:dyDescent="0.25">
      <c r="A659" s="4" t="s">
        <v>469</v>
      </c>
      <c r="B659" s="34">
        <v>2.1</v>
      </c>
    </row>
    <row r="660" spans="1:2" x14ac:dyDescent="0.25">
      <c r="A660" s="4" t="s">
        <v>158</v>
      </c>
      <c r="B660" s="34">
        <v>2.1</v>
      </c>
    </row>
    <row r="661" spans="1:2" x14ac:dyDescent="0.25">
      <c r="A661" s="4" t="s">
        <v>276</v>
      </c>
      <c r="B661" s="34">
        <v>2.1</v>
      </c>
    </row>
    <row r="662" spans="1:2" x14ac:dyDescent="0.25">
      <c r="A662" s="4" t="s">
        <v>825</v>
      </c>
      <c r="B662" s="34">
        <v>2.1</v>
      </c>
    </row>
    <row r="663" spans="1:2" x14ac:dyDescent="0.25">
      <c r="A663" s="4" t="s">
        <v>179</v>
      </c>
      <c r="B663" s="34">
        <v>2.1</v>
      </c>
    </row>
    <row r="664" spans="1:2" x14ac:dyDescent="0.25">
      <c r="A664" s="4" t="s">
        <v>446</v>
      </c>
      <c r="B664" s="34">
        <v>1.9500000000000002</v>
      </c>
    </row>
    <row r="665" spans="1:2" x14ac:dyDescent="0.25">
      <c r="A665" s="4" t="s">
        <v>172</v>
      </c>
      <c r="B665" s="34">
        <v>1.95</v>
      </c>
    </row>
    <row r="666" spans="1:2" x14ac:dyDescent="0.25">
      <c r="A666" s="4" t="s">
        <v>930</v>
      </c>
      <c r="B666" s="34">
        <v>1.95</v>
      </c>
    </row>
    <row r="667" spans="1:2" x14ac:dyDescent="0.25">
      <c r="A667" s="4" t="s">
        <v>319</v>
      </c>
      <c r="B667" s="34">
        <v>1.92</v>
      </c>
    </row>
    <row r="668" spans="1:2" x14ac:dyDescent="0.25">
      <c r="A668" s="4" t="s">
        <v>897</v>
      </c>
      <c r="B668" s="34">
        <v>1.7</v>
      </c>
    </row>
    <row r="669" spans="1:2" x14ac:dyDescent="0.25">
      <c r="A669" s="4" t="s">
        <v>285</v>
      </c>
      <c r="B669" s="34">
        <v>1.69</v>
      </c>
    </row>
    <row r="670" spans="1:2" x14ac:dyDescent="0.25">
      <c r="A670" s="4" t="s">
        <v>272</v>
      </c>
      <c r="B670" s="34">
        <v>1.69</v>
      </c>
    </row>
    <row r="671" spans="1:2" x14ac:dyDescent="0.25">
      <c r="A671" s="4" t="s">
        <v>607</v>
      </c>
      <c r="B671" s="34">
        <v>1.69</v>
      </c>
    </row>
    <row r="672" spans="1:2" x14ac:dyDescent="0.25">
      <c r="A672" s="4" t="s">
        <v>666</v>
      </c>
      <c r="B672" s="34">
        <v>1.6500000000000001</v>
      </c>
    </row>
    <row r="673" spans="1:2" x14ac:dyDescent="0.25">
      <c r="A673" s="4" t="s">
        <v>962</v>
      </c>
      <c r="B673" s="34">
        <v>1.65</v>
      </c>
    </row>
    <row r="674" spans="1:2" x14ac:dyDescent="0.25">
      <c r="A674" s="4" t="s">
        <v>12</v>
      </c>
      <c r="B674" s="34">
        <v>1.65</v>
      </c>
    </row>
    <row r="675" spans="1:2" x14ac:dyDescent="0.25">
      <c r="A675" s="4" t="s">
        <v>60</v>
      </c>
      <c r="B675" s="34">
        <v>1.65</v>
      </c>
    </row>
    <row r="676" spans="1:2" x14ac:dyDescent="0.25">
      <c r="A676" s="4" t="s">
        <v>596</v>
      </c>
      <c r="B676" s="34">
        <v>1.65</v>
      </c>
    </row>
    <row r="677" spans="1:2" x14ac:dyDescent="0.25">
      <c r="A677" s="4" t="s">
        <v>649</v>
      </c>
      <c r="B677" s="34">
        <v>1.65</v>
      </c>
    </row>
    <row r="678" spans="1:2" x14ac:dyDescent="0.25">
      <c r="A678" s="4" t="s">
        <v>532</v>
      </c>
      <c r="B678" s="34">
        <v>1.65</v>
      </c>
    </row>
    <row r="679" spans="1:2" x14ac:dyDescent="0.25">
      <c r="A679" s="4" t="s">
        <v>225</v>
      </c>
      <c r="B679" s="34">
        <v>1.49</v>
      </c>
    </row>
    <row r="680" spans="1:2" x14ac:dyDescent="0.25">
      <c r="A680" s="4" t="s">
        <v>617</v>
      </c>
      <c r="B680" s="34">
        <v>1.45</v>
      </c>
    </row>
    <row r="681" spans="1:2" x14ac:dyDescent="0.25">
      <c r="A681" s="4" t="s">
        <v>811</v>
      </c>
      <c r="B681" s="34">
        <v>1.45</v>
      </c>
    </row>
    <row r="682" spans="1:2" x14ac:dyDescent="0.25">
      <c r="A682" s="4" t="s">
        <v>678</v>
      </c>
      <c r="B682" s="34">
        <v>1.45</v>
      </c>
    </row>
    <row r="683" spans="1:2" x14ac:dyDescent="0.25">
      <c r="A683" s="4" t="s">
        <v>492</v>
      </c>
      <c r="B683" s="34">
        <v>1.3</v>
      </c>
    </row>
    <row r="684" spans="1:2" x14ac:dyDescent="0.25">
      <c r="A684" s="4" t="s">
        <v>350</v>
      </c>
      <c r="B684" s="34">
        <v>1.3</v>
      </c>
    </row>
    <row r="685" spans="1:2" x14ac:dyDescent="0.25">
      <c r="A685" s="4" t="s">
        <v>295</v>
      </c>
      <c r="B685" s="34">
        <v>1.26</v>
      </c>
    </row>
    <row r="686" spans="1:2" x14ac:dyDescent="0.25">
      <c r="A686" s="4" t="s">
        <v>940</v>
      </c>
      <c r="B686" s="34">
        <v>1.25</v>
      </c>
    </row>
    <row r="687" spans="1:2" x14ac:dyDescent="0.25">
      <c r="A687" s="4" t="s">
        <v>260</v>
      </c>
      <c r="B687" s="34">
        <v>1.25</v>
      </c>
    </row>
    <row r="688" spans="1:2" x14ac:dyDescent="0.25">
      <c r="A688" s="4" t="s">
        <v>175</v>
      </c>
      <c r="B688" s="34">
        <v>1.25</v>
      </c>
    </row>
    <row r="689" spans="1:2" x14ac:dyDescent="0.25">
      <c r="A689" s="4" t="s">
        <v>773</v>
      </c>
      <c r="B689" s="34">
        <v>1.25</v>
      </c>
    </row>
    <row r="690" spans="1:2" x14ac:dyDescent="0.25">
      <c r="A690" s="4" t="s">
        <v>315</v>
      </c>
      <c r="B690" s="34">
        <v>1.25</v>
      </c>
    </row>
    <row r="691" spans="1:2" x14ac:dyDescent="0.25">
      <c r="A691" s="4" t="s">
        <v>938</v>
      </c>
      <c r="B691" s="34">
        <v>1.25</v>
      </c>
    </row>
    <row r="692" spans="1:2" x14ac:dyDescent="0.25">
      <c r="A692" s="4" t="s">
        <v>188</v>
      </c>
      <c r="B692" s="34">
        <v>1.25</v>
      </c>
    </row>
    <row r="693" spans="1:2" x14ac:dyDescent="0.25">
      <c r="A693" s="4" t="s">
        <v>620</v>
      </c>
      <c r="B693" s="34">
        <v>1.25</v>
      </c>
    </row>
    <row r="694" spans="1:2" x14ac:dyDescent="0.25">
      <c r="A694" s="4" t="s">
        <v>180</v>
      </c>
      <c r="B694" s="34">
        <v>1.25</v>
      </c>
    </row>
    <row r="695" spans="1:2" x14ac:dyDescent="0.25">
      <c r="A695" s="4" t="s">
        <v>703</v>
      </c>
      <c r="B695" s="34">
        <v>1.25</v>
      </c>
    </row>
    <row r="696" spans="1:2" x14ac:dyDescent="0.25">
      <c r="A696" s="4" t="s">
        <v>914</v>
      </c>
      <c r="B696" s="34">
        <v>1.25</v>
      </c>
    </row>
    <row r="697" spans="1:2" x14ac:dyDescent="0.25">
      <c r="A697" s="4" t="s">
        <v>761</v>
      </c>
      <c r="B697" s="34">
        <v>1.25</v>
      </c>
    </row>
    <row r="698" spans="1:2" x14ac:dyDescent="0.25">
      <c r="A698" s="4" t="s">
        <v>37</v>
      </c>
      <c r="B698" s="34">
        <v>1.25</v>
      </c>
    </row>
    <row r="699" spans="1:2" x14ac:dyDescent="0.25">
      <c r="A699" s="4" t="s">
        <v>486</v>
      </c>
      <c r="B699" s="34">
        <v>1.25</v>
      </c>
    </row>
    <row r="700" spans="1:2" x14ac:dyDescent="0.25">
      <c r="A700" s="4" t="s">
        <v>730</v>
      </c>
      <c r="B700" s="34">
        <v>1.25</v>
      </c>
    </row>
    <row r="701" spans="1:2" x14ac:dyDescent="0.25">
      <c r="A701" s="4" t="s">
        <v>131</v>
      </c>
      <c r="B701" s="34">
        <v>0.86999999999999988</v>
      </c>
    </row>
    <row r="702" spans="1:2" x14ac:dyDescent="0.25">
      <c r="A702" s="4" t="s">
        <v>31</v>
      </c>
      <c r="B702" s="34">
        <v>0.85</v>
      </c>
    </row>
    <row r="703" spans="1:2" x14ac:dyDescent="0.25">
      <c r="A703" s="4" t="s">
        <v>449</v>
      </c>
      <c r="B703" s="34">
        <v>0.85</v>
      </c>
    </row>
    <row r="704" spans="1:2" x14ac:dyDescent="0.25">
      <c r="A704" s="4" t="s">
        <v>231</v>
      </c>
      <c r="B704" s="34">
        <v>0.85</v>
      </c>
    </row>
    <row r="705" spans="1:2" x14ac:dyDescent="0.25">
      <c r="A705" s="4" t="s">
        <v>706</v>
      </c>
      <c r="B705" s="34">
        <v>0.85</v>
      </c>
    </row>
    <row r="706" spans="1:2" x14ac:dyDescent="0.25">
      <c r="A706" s="4" t="s">
        <v>508</v>
      </c>
      <c r="B706" s="34">
        <v>0.85</v>
      </c>
    </row>
    <row r="707" spans="1:2" x14ac:dyDescent="0.25">
      <c r="A707" s="4" t="s">
        <v>566</v>
      </c>
      <c r="B707" s="34">
        <v>0.85</v>
      </c>
    </row>
    <row r="708" spans="1:2" x14ac:dyDescent="0.25">
      <c r="A708" s="4" t="s">
        <v>410</v>
      </c>
      <c r="B708" s="34">
        <v>0.85</v>
      </c>
    </row>
    <row r="709" spans="1:2" x14ac:dyDescent="0.25">
      <c r="A709" s="4" t="s">
        <v>780</v>
      </c>
      <c r="B709" s="34">
        <v>0.84</v>
      </c>
    </row>
    <row r="710" spans="1:2" x14ac:dyDescent="0.25">
      <c r="A710" s="4" t="s">
        <v>623</v>
      </c>
      <c r="B710" s="34">
        <v>0.55000000000000004</v>
      </c>
    </row>
    <row r="711" spans="1:2" x14ac:dyDescent="0.25">
      <c r="A711" s="4" t="s">
        <v>331</v>
      </c>
      <c r="B711" s="34">
        <v>0.42</v>
      </c>
    </row>
    <row r="712" spans="1:2" x14ac:dyDescent="0.25">
      <c r="A712" s="4" t="s">
        <v>691</v>
      </c>
      <c r="B712" s="34">
        <v>0.42</v>
      </c>
    </row>
    <row r="713" spans="1:2" x14ac:dyDescent="0.25">
      <c r="A713" s="4" t="s">
        <v>282</v>
      </c>
      <c r="B713" s="34">
        <v>0.21</v>
      </c>
    </row>
    <row r="714" spans="1:2" x14ac:dyDescent="0.25">
      <c r="A714" s="4" t="s">
        <v>545</v>
      </c>
      <c r="B714" s="34">
        <v>-3.75</v>
      </c>
    </row>
    <row r="715" spans="1:2" x14ac:dyDescent="0.25">
      <c r="A715" s="4" t="s">
        <v>739</v>
      </c>
      <c r="B715" s="34">
        <v>-4.25</v>
      </c>
    </row>
    <row r="716" spans="1:2" x14ac:dyDescent="0.25">
      <c r="A716" s="4" t="s">
        <v>838</v>
      </c>
      <c r="B716" s="34">
        <v>-5.9</v>
      </c>
    </row>
    <row r="717" spans="1:2" x14ac:dyDescent="0.25">
      <c r="A717" s="4" t="s">
        <v>373</v>
      </c>
      <c r="B717" s="34">
        <v>-5.95</v>
      </c>
    </row>
    <row r="718" spans="1:2" x14ac:dyDescent="0.25">
      <c r="A718" s="4" t="s">
        <v>323</v>
      </c>
      <c r="B718" s="34">
        <v>-8.8500000000000014</v>
      </c>
    </row>
    <row r="719" spans="1:2" x14ac:dyDescent="0.25">
      <c r="A719" s="4" t="s">
        <v>789</v>
      </c>
      <c r="B719" s="34">
        <v>-15</v>
      </c>
    </row>
    <row r="720" spans="1:2" x14ac:dyDescent="0.25">
      <c r="A720" s="4" t="s">
        <v>403</v>
      </c>
      <c r="B720" s="34">
        <v>-30.599999999999998</v>
      </c>
    </row>
    <row r="721" spans="1:2" x14ac:dyDescent="0.25">
      <c r="A721" s="4" t="s">
        <v>242</v>
      </c>
      <c r="B721" s="34">
        <v>-39.799999999999997</v>
      </c>
    </row>
    <row r="722" spans="1:2" x14ac:dyDescent="0.25">
      <c r="A722" s="4" t="s">
        <v>210</v>
      </c>
      <c r="B722" s="34">
        <v>-43.45</v>
      </c>
    </row>
    <row r="723" spans="1:2" x14ac:dyDescent="0.25">
      <c r="A723" s="4" t="s">
        <v>658</v>
      </c>
      <c r="B723" s="34">
        <v>-72.5</v>
      </c>
    </row>
    <row r="724" spans="1:2" x14ac:dyDescent="0.25">
      <c r="A724" s="4" t="s">
        <v>770</v>
      </c>
      <c r="B724" s="34">
        <v>-122.39999999999999</v>
      </c>
    </row>
    <row r="725" spans="1:2" x14ac:dyDescent="0.25">
      <c r="A725" s="4" t="s">
        <v>964</v>
      </c>
      <c r="B725" s="34">
        <v>-151.20000000000002</v>
      </c>
    </row>
    <row r="726" spans="1:2" x14ac:dyDescent="0.25">
      <c r="A726" s="4" t="s">
        <v>988</v>
      </c>
      <c r="B726" s="34">
        <v>21603.280000000035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pane ySplit="1" topLeftCell="A2" activePane="bottomLeft" state="frozen"/>
      <selection pane="bottomLeft" activeCell="D7" sqref="A7:D8"/>
    </sheetView>
  </sheetViews>
  <sheetFormatPr defaultColWidth="14.42578125" defaultRowHeight="15" customHeight="1" x14ac:dyDescent="0.25"/>
  <cols>
    <col min="1" max="1" width="16.140625" customWidth="1"/>
    <col min="2" max="2" width="16.85546875" customWidth="1"/>
    <col min="3" max="3" width="19" customWidth="1"/>
    <col min="4" max="4" width="17.7109375" customWidth="1"/>
    <col min="5" max="26" width="8.7109375" customWidth="1"/>
  </cols>
  <sheetData>
    <row r="1" spans="1:4" x14ac:dyDescent="0.25">
      <c r="A1" t="s">
        <v>7</v>
      </c>
      <c r="B1" t="s">
        <v>984</v>
      </c>
      <c r="C1" t="s">
        <v>985</v>
      </c>
      <c r="D1" t="s">
        <v>986</v>
      </c>
    </row>
    <row r="2" spans="1:4" x14ac:dyDescent="0.25">
      <c r="A2" t="s">
        <v>978</v>
      </c>
      <c r="B2">
        <f>SUMIF('Clean Data'!H:H,"Eire", 'Clean Data'!I:I)</f>
        <v>842.00000000000011</v>
      </c>
      <c r="C2">
        <f>COUNTIF('Clean Data'!H:H,"Eire")</f>
        <v>18</v>
      </c>
      <c r="D2">
        <f>AVERAGEIF('Clean Data'!H:H,"Eire", 'Clean Data'!I:I)</f>
        <v>46.777777777777786</v>
      </c>
    </row>
    <row r="3" spans="1:4" x14ac:dyDescent="0.25">
      <c r="A3" t="s">
        <v>9</v>
      </c>
      <c r="B3">
        <f>SUMIF('Clean Data'!H:H,"United Kingdom", 'Clean Data'!I:I)</f>
        <v>16714.890000000018</v>
      </c>
      <c r="C3">
        <f>COUNTIF('Clean Data'!H:H,"United Kingdom")</f>
        <v>876</v>
      </c>
      <c r="D3">
        <f>AVERAGEIF('Clean Data'!H:H,"United Kingdom", 'Clean Data'!I:I)</f>
        <v>19.080924657534268</v>
      </c>
    </row>
    <row r="4" spans="1:4" x14ac:dyDescent="0.25">
      <c r="A4" t="s">
        <v>17</v>
      </c>
      <c r="B4">
        <f>SUMIF('Clean Data'!H:H,"Germany", 'Clean Data'!I:I)</f>
        <v>466.5</v>
      </c>
      <c r="C4">
        <f>COUNTIF('Clean Data'!H:H,"Germany")</f>
        <v>19</v>
      </c>
      <c r="D4">
        <f>AVERAGEIF('Clean Data'!H:H,"Germany", 'Clean Data'!I:I)</f>
        <v>24.55263157894737</v>
      </c>
    </row>
    <row r="5" spans="1:4" x14ac:dyDescent="0.25">
      <c r="A5" t="s">
        <v>28</v>
      </c>
      <c r="B5">
        <f>SUMIF('Clean Data'!H:H,"France", 'Clean Data'!I:I)</f>
        <v>735.7600000000001</v>
      </c>
      <c r="C5">
        <f>COUNTIF('Clean Data'!H:H,"France")</f>
        <v>19</v>
      </c>
      <c r="D5">
        <f>AVERAGEIF('Clean Data'!H:H,"France", 'Clean Data'!I:I)</f>
        <v>38.724210526315794</v>
      </c>
    </row>
    <row r="6" spans="1:4" x14ac:dyDescent="0.25">
      <c r="A6" s="31" t="s">
        <v>82</v>
      </c>
      <c r="B6">
        <f>SUMIF('Clean Data'!H:H,"Belgium", 'Clean Data'!I:I)</f>
        <v>64.5</v>
      </c>
      <c r="C6">
        <f>COUNTIF('Clean Data'!H:H,"Belgium")</f>
        <v>2</v>
      </c>
      <c r="D6">
        <f>AVERAGEIF('Clean Data'!H:H,"Belgium", 'Clean Data'!I:I)</f>
        <v>32.25</v>
      </c>
    </row>
    <row r="7" spans="1:4" ht="15" customHeight="1" x14ac:dyDescent="0.25">
      <c r="A7" s="37"/>
    </row>
    <row r="8" spans="1:4" x14ac:dyDescent="0.25">
      <c r="A8" s="1"/>
    </row>
    <row r="9" spans="1:4" x14ac:dyDescent="0.25">
      <c r="A9" s="13"/>
    </row>
    <row r="10" spans="1:4" x14ac:dyDescent="0.25">
      <c r="A10" s="1"/>
    </row>
    <row r="11" spans="1:4" x14ac:dyDescent="0.25">
      <c r="A11" s="1"/>
    </row>
    <row r="14" spans="1:4" ht="15" customHeight="1" x14ac:dyDescent="0.25">
      <c r="A14" s="30"/>
    </row>
    <row r="15" spans="1:4" ht="15" customHeight="1" x14ac:dyDescent="0.25">
      <c r="A15" s="30"/>
    </row>
    <row r="16" spans="1:4" ht="15" customHeight="1" x14ac:dyDescent="0.25">
      <c r="A16" s="30"/>
    </row>
    <row r="17" spans="1:1" ht="21" customHeight="1" x14ac:dyDescent="0.25">
      <c r="A17" s="30"/>
    </row>
    <row r="18" spans="1:1" ht="15" customHeight="1" x14ac:dyDescent="0.25">
      <c r="A18" s="30"/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Messy Data</vt:lpstr>
      <vt:lpstr>Clean Data</vt:lpstr>
      <vt:lpstr>Task 2 Analysis</vt:lpstr>
      <vt:lpstr>Revenue by Country</vt:lpstr>
      <vt:lpstr>Product Revenue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2026-10-01T07:38:17Z</dcterms:created>
  <dcterms:modified xsi:type="dcterms:W3CDTF">2026-10-08T07:41:24Z</dcterms:modified>
</cp:coreProperties>
</file>